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ersonjohnston/Downloads/_Work/Talent/talent_charts/data/"/>
    </mc:Choice>
  </mc:AlternateContent>
  <xr:revisionPtr revIDLastSave="0" documentId="13_ncr:1_{E12F445F-2567-D14C-8C32-103DD26CECB8}" xr6:coauthVersionLast="47" xr6:coauthVersionMax="47" xr10:uidLastSave="{00000000-0000-0000-0000-000000000000}"/>
  <bookViews>
    <workbookView xWindow="160" yWindow="820" windowWidth="14440" windowHeight="18140" firstSheet="2" activeTab="7" xr2:uid="{00000000-000D-0000-FFFF-FFFF00000000}"/>
  </bookViews>
  <sheets>
    <sheet name="fig_001" sheetId="91" r:id="rId1"/>
    <sheet name="fig_002" sheetId="202" r:id="rId2"/>
    <sheet name="fig_003" sheetId="51" r:id="rId3"/>
    <sheet name="fig_004" sheetId="52" r:id="rId4"/>
    <sheet name="fig_005" sheetId="6" r:id="rId5"/>
    <sheet name="fig_006" sheetId="57" r:id="rId6"/>
    <sheet name="fig_007" sheetId="49" r:id="rId7"/>
    <sheet name="fig_008" sheetId="50" r:id="rId8"/>
    <sheet name="fig_009" sheetId="3" r:id="rId9"/>
    <sheet name="fig_010" sheetId="2" r:id="rId10"/>
    <sheet name="fig_011" sheetId="4" r:id="rId11"/>
    <sheet name="fig_012" sheetId="5" r:id="rId12"/>
    <sheet name="fig_013" sheetId="74" r:id="rId13"/>
    <sheet name="fig_014" sheetId="71" r:id="rId14"/>
    <sheet name="fig_015" sheetId="82" r:id="rId15"/>
    <sheet name="fig_016" sheetId="84" r:id="rId16"/>
    <sheet name="fig_017" sheetId="86" r:id="rId17"/>
    <sheet name="fig_018" sheetId="53" r:id="rId18"/>
    <sheet name="fig_019" sheetId="54" r:id="rId19"/>
    <sheet name="fig_020" sheetId="81" r:id="rId20"/>
    <sheet name="fig_021" sheetId="72" r:id="rId21"/>
    <sheet name="fig_022" sheetId="75" r:id="rId22"/>
    <sheet name="fig_023" sheetId="76" r:id="rId23"/>
    <sheet name="fig_024" sheetId="77" r:id="rId24"/>
    <sheet name="fig_025" sheetId="61" r:id="rId25"/>
    <sheet name="fig_026" sheetId="209" r:id="rId26"/>
    <sheet name="fig_027" sheetId="205" r:id="rId27"/>
    <sheet name="fig_028" sheetId="204" r:id="rId28"/>
    <sheet name="fig_029" sheetId="206" r:id="rId29"/>
    <sheet name="fig_030" sheetId="233" r:id="rId30"/>
    <sheet name="fig_031" sheetId="43" r:id="rId31"/>
    <sheet name="fig_032" sheetId="44" r:id="rId32"/>
    <sheet name="fig_033" sheetId="42" r:id="rId33"/>
    <sheet name="fig_034" sheetId="12" r:id="rId34"/>
    <sheet name="fig_035" sheetId="7" r:id="rId35"/>
    <sheet name="fig_036" sheetId="210" r:id="rId36"/>
    <sheet name="fig_037" sheetId="211" r:id="rId37"/>
    <sheet name="fig_038" sheetId="212" r:id="rId38"/>
    <sheet name="fig_039" sheetId="78" r:id="rId39"/>
    <sheet name="fig_040" sheetId="79" r:id="rId40"/>
    <sheet name="fig_041" sheetId="80" r:id="rId41"/>
    <sheet name="fig_042" sheetId="90" r:id="rId42"/>
    <sheet name="fig_043" sheetId="11" r:id="rId43"/>
    <sheet name="fig_044" sheetId="9" r:id="rId44"/>
    <sheet name="fig_045" sheetId="213" r:id="rId45"/>
    <sheet name="fig_046" sheetId="214" r:id="rId46"/>
    <sheet name="fig_047" sheetId="10" r:id="rId47"/>
    <sheet name="fig_049" sheetId="215" r:id="rId48"/>
    <sheet name="fig_050" sheetId="47" r:id="rId49"/>
    <sheet name="fig_051" sheetId="48" r:id="rId50"/>
    <sheet name="fig_052" sheetId="14" r:id="rId51"/>
    <sheet name="fig_053" sheetId="13" r:id="rId52"/>
    <sheet name="fig_059" sheetId="217" r:id="rId53"/>
    <sheet name="fig_060" sheetId="221" r:id="rId54"/>
    <sheet name="fig_061" sheetId="222" r:id="rId55"/>
    <sheet name="fig_062" sheetId="123" r:id="rId56"/>
    <sheet name="fig_063" sheetId="231" r:id="rId57"/>
    <sheet name="fig_064" sheetId="219" r:id="rId58"/>
    <sheet name="fig_065" sheetId="224" r:id="rId59"/>
    <sheet name="fig_066" sheetId="69" r:id="rId60"/>
    <sheet name="fig_067" sheetId="225" r:id="rId61"/>
    <sheet name="fig_068" sheetId="62" r:id="rId62"/>
    <sheet name="fig_069" sheetId="68" r:id="rId63"/>
    <sheet name="fig_070" sheetId="67" r:id="rId64"/>
    <sheet name="fig_071" sheetId="8" r:id="rId65"/>
    <sheet name="fig_072" sheetId="32" r:id="rId66"/>
    <sheet name="fig_073" sheetId="34" r:id="rId67"/>
    <sheet name="fig_074" sheetId="35" r:id="rId68"/>
    <sheet name="fig_075" sheetId="37" r:id="rId69"/>
    <sheet name="fig_076" sheetId="39" r:id="rId70"/>
    <sheet name="fig_077" sheetId="40" r:id="rId71"/>
    <sheet name="fig_078" sheetId="38" r:id="rId72"/>
    <sheet name="fig_079" sheetId="230" r:id="rId73"/>
    <sheet name="fig_080" sheetId="232" r:id="rId74"/>
    <sheet name="fig_081" sheetId="119" r:id="rId75"/>
    <sheet name="fig_082" sheetId="120" r:id="rId76"/>
    <sheet name="fig_083" sheetId="121" r:id="rId77"/>
    <sheet name="fig_084" sheetId="122" r:id="rId78"/>
    <sheet name="fig_085" sheetId="124" r:id="rId79"/>
    <sheet name="fig_086" sheetId="20" r:id="rId80"/>
    <sheet name="fig_087" sheetId="33" r:id="rId81"/>
    <sheet name="fig_088" sheetId="36" r:id="rId82"/>
    <sheet name="fig_089" sheetId="55" r:id="rId83"/>
    <sheet name="fig_090" sheetId="56" r:id="rId84"/>
    <sheet name="fig_091" sheetId="58" r:id="rId85"/>
    <sheet name="fig_092" sheetId="59" r:id="rId86"/>
    <sheet name="fig_093" sheetId="60" r:id="rId87"/>
    <sheet name="fig_094" sheetId="73" r:id="rId88"/>
    <sheet name="fig_095" sheetId="83" r:id="rId89"/>
    <sheet name="fig_096" sheetId="85" r:id="rId90"/>
    <sheet name="fig_097" sheetId="87" r:id="rId91"/>
    <sheet name="tab_001" sheetId="117" r:id="rId92"/>
    <sheet name="tab_002" sheetId="118" r:id="rId93"/>
    <sheet name="tab_003" sheetId="226" r:id="rId94"/>
    <sheet name="tab_004" sheetId="227" r:id="rId95"/>
    <sheet name="tab_005" sheetId="228" r:id="rId96"/>
  </sheets>
  <definedNames>
    <definedName name="_Hlk208734126" localSheetId="82">fig_089!#REF!</definedName>
    <definedName name="_Hlk210064991" localSheetId="68">fig_075!#REF!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28" l="1"/>
  <c r="F25" i="228"/>
  <c r="E25" i="228"/>
  <c r="G24" i="228"/>
  <c r="F24" i="228"/>
  <c r="E24" i="228"/>
  <c r="G23" i="228"/>
  <c r="F23" i="228"/>
  <c r="E23" i="228"/>
  <c r="G22" i="228"/>
  <c r="F22" i="228"/>
  <c r="E22" i="228"/>
  <c r="G21" i="228"/>
  <c r="F21" i="228"/>
  <c r="E21" i="228"/>
  <c r="G20" i="228"/>
  <c r="F20" i="228"/>
  <c r="E20" i="228"/>
  <c r="G19" i="228"/>
  <c r="F19" i="228"/>
  <c r="E19" i="228"/>
  <c r="G18" i="228"/>
  <c r="F18" i="228"/>
  <c r="E18" i="228"/>
  <c r="G17" i="228"/>
  <c r="F17" i="228"/>
  <c r="E17" i="228"/>
  <c r="G16" i="228"/>
  <c r="F16" i="228"/>
  <c r="E16" i="228"/>
  <c r="G15" i="228"/>
  <c r="F15" i="228"/>
  <c r="E15" i="228"/>
  <c r="G14" i="228"/>
  <c r="F14" i="228"/>
  <c r="E14" i="228"/>
  <c r="G13" i="228"/>
  <c r="F13" i="228"/>
  <c r="E13" i="228"/>
  <c r="G12" i="228"/>
  <c r="F12" i="228"/>
  <c r="E12" i="228"/>
  <c r="G11" i="228"/>
  <c r="F11" i="228"/>
  <c r="E11" i="228"/>
  <c r="G10" i="228"/>
  <c r="F10" i="228"/>
  <c r="E10" i="228"/>
  <c r="G9" i="228"/>
  <c r="F9" i="228"/>
  <c r="E9" i="228"/>
  <c r="G8" i="228"/>
  <c r="F8" i="228"/>
  <c r="E8" i="228"/>
  <c r="G7" i="228"/>
  <c r="F7" i="228"/>
  <c r="E7" i="228"/>
  <c r="G6" i="228"/>
  <c r="F6" i="228"/>
  <c r="E6" i="228"/>
  <c r="G5" i="228"/>
  <c r="F5" i="228"/>
  <c r="E5" i="228"/>
  <c r="G4" i="228"/>
  <c r="F4" i="228"/>
  <c r="E4" i="228"/>
  <c r="G3" i="228"/>
  <c r="F3" i="228"/>
  <c r="E3" i="228"/>
  <c r="G2" i="228"/>
  <c r="F2" i="228"/>
  <c r="E2" i="228"/>
  <c r="G18" i="227"/>
  <c r="F18" i="227"/>
  <c r="E18" i="227"/>
  <c r="G17" i="227"/>
  <c r="F17" i="227"/>
  <c r="E17" i="227"/>
  <c r="G16" i="227"/>
  <c r="F16" i="227"/>
  <c r="E16" i="227"/>
  <c r="G15" i="227"/>
  <c r="F15" i="227"/>
  <c r="E15" i="227"/>
  <c r="G14" i="227"/>
  <c r="F14" i="227"/>
  <c r="E14" i="227"/>
  <c r="G13" i="227"/>
  <c r="F13" i="227"/>
  <c r="E13" i="227"/>
  <c r="G12" i="227"/>
  <c r="F12" i="227"/>
  <c r="E12" i="227"/>
  <c r="G11" i="227"/>
  <c r="F11" i="227"/>
  <c r="E11" i="227"/>
  <c r="G10" i="227"/>
  <c r="F10" i="227"/>
  <c r="E10" i="227"/>
  <c r="G9" i="227"/>
  <c r="F9" i="227"/>
  <c r="E9" i="227"/>
  <c r="G8" i="227"/>
  <c r="F8" i="227"/>
  <c r="E8" i="227"/>
  <c r="G7" i="227"/>
  <c r="F7" i="227"/>
  <c r="E7" i="227"/>
  <c r="G6" i="227"/>
  <c r="F6" i="227"/>
  <c r="E6" i="227"/>
  <c r="G5" i="227"/>
  <c r="F5" i="227"/>
  <c r="E5" i="227"/>
  <c r="G4" i="227"/>
  <c r="F4" i="227"/>
  <c r="E4" i="227"/>
  <c r="G3" i="227"/>
  <c r="F3" i="227"/>
  <c r="E3" i="227"/>
  <c r="G2" i="227"/>
  <c r="F2" i="227"/>
  <c r="E2" i="227"/>
  <c r="G26" i="226"/>
  <c r="F26" i="226"/>
  <c r="E26" i="226"/>
  <c r="G25" i="226"/>
  <c r="F25" i="226"/>
  <c r="E25" i="226"/>
  <c r="G24" i="226"/>
  <c r="F24" i="226"/>
  <c r="E24" i="226"/>
  <c r="G23" i="226"/>
  <c r="F23" i="226"/>
  <c r="E23" i="226"/>
  <c r="G22" i="226"/>
  <c r="F22" i="226"/>
  <c r="E22" i="226"/>
  <c r="G21" i="226"/>
  <c r="F21" i="226"/>
  <c r="E21" i="226"/>
  <c r="G20" i="226"/>
  <c r="F20" i="226"/>
  <c r="E20" i="226"/>
  <c r="G19" i="226"/>
  <c r="F19" i="226"/>
  <c r="E19" i="226"/>
  <c r="G18" i="226"/>
  <c r="F18" i="226"/>
  <c r="E18" i="226"/>
  <c r="G17" i="226"/>
  <c r="F17" i="226"/>
  <c r="E17" i="226"/>
  <c r="G16" i="226"/>
  <c r="F16" i="226"/>
  <c r="E16" i="226"/>
  <c r="G15" i="226"/>
  <c r="F15" i="226"/>
  <c r="E15" i="226"/>
  <c r="G14" i="226"/>
  <c r="F14" i="226"/>
  <c r="E14" i="226"/>
  <c r="G13" i="226"/>
  <c r="F13" i="226"/>
  <c r="E13" i="226"/>
  <c r="G12" i="226"/>
  <c r="F12" i="226"/>
  <c r="E12" i="226"/>
  <c r="G11" i="226"/>
  <c r="F11" i="226"/>
  <c r="E11" i="226"/>
  <c r="G10" i="226"/>
  <c r="F10" i="226"/>
  <c r="E10" i="226"/>
  <c r="G9" i="226"/>
  <c r="F9" i="226"/>
  <c r="E9" i="226"/>
  <c r="G8" i="226"/>
  <c r="F8" i="226"/>
  <c r="E8" i="226"/>
  <c r="G7" i="226"/>
  <c r="F7" i="226"/>
  <c r="E7" i="226"/>
  <c r="G6" i="226"/>
  <c r="F6" i="226"/>
  <c r="E6" i="226"/>
  <c r="G5" i="226"/>
  <c r="F5" i="226"/>
  <c r="E5" i="226"/>
  <c r="G4" i="226"/>
  <c r="F4" i="226"/>
  <c r="E4" i="226"/>
  <c r="G3" i="226"/>
  <c r="F3" i="226"/>
  <c r="E3" i="226"/>
  <c r="G2" i="226"/>
  <c r="F2" i="226"/>
  <c r="E2" i="226"/>
  <c r="H3" i="39" l="1"/>
  <c r="H4" i="39"/>
  <c r="H5" i="39"/>
  <c r="H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" i="39"/>
  <c r="G3" i="39"/>
  <c r="G11" i="39"/>
  <c r="D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2" i="32"/>
  <c r="B3" i="39"/>
  <c r="B4" i="39"/>
  <c r="G4" i="39" s="1"/>
  <c r="B5" i="39"/>
  <c r="G5" i="39" s="1"/>
  <c r="B6" i="39"/>
  <c r="G6" i="39" s="1"/>
  <c r="B7" i="39"/>
  <c r="G7" i="39" s="1"/>
  <c r="B8" i="39"/>
  <c r="G8" i="39" s="1"/>
  <c r="B9" i="39"/>
  <c r="G9" i="39" s="1"/>
  <c r="B10" i="39"/>
  <c r="G10" i="39" s="1"/>
  <c r="B11" i="39"/>
  <c r="B12" i="39"/>
  <c r="G12" i="39" s="1"/>
  <c r="B13" i="39"/>
  <c r="G13" i="39" s="1"/>
  <c r="B14" i="39"/>
  <c r="G14" i="39" s="1"/>
  <c r="B15" i="39"/>
  <c r="G15" i="39" s="1"/>
  <c r="B16" i="39"/>
  <c r="G16" i="39" s="1"/>
  <c r="B17" i="39"/>
  <c r="G17" i="39" s="1"/>
  <c r="B18" i="39"/>
  <c r="G18" i="39" s="1"/>
  <c r="B19" i="39"/>
  <c r="G19" i="39" s="1"/>
  <c r="B2" i="39"/>
  <c r="G2" i="39" s="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" i="8"/>
  <c r="C3" i="77" l="1"/>
  <c r="C4" i="77"/>
  <c r="C5" i="77"/>
  <c r="C6" i="77"/>
  <c r="C7" i="77"/>
  <c r="C8" i="77"/>
  <c r="C9" i="77"/>
  <c r="C10" i="77"/>
  <c r="C11" i="77"/>
  <c r="C12" i="77"/>
  <c r="C13" i="77"/>
  <c r="C2" i="77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" i="4"/>
  <c r="M12" i="49" a="1"/>
  <c r="M12" i="49" s="1"/>
  <c r="M12" i="50" a="1"/>
  <c r="M12" i="50" s="1"/>
  <c r="K12" i="49" a="1"/>
  <c r="K12" i="49" s="1"/>
  <c r="K12" i="50" a="1"/>
  <c r="K12" i="50" s="1"/>
  <c r="I12" i="50" a="1"/>
  <c r="I12" i="50" s="1"/>
  <c r="G12" i="50" a="1"/>
  <c r="G12" i="50" s="1"/>
  <c r="E12" i="50" a="1"/>
  <c r="E12" i="50" s="1"/>
  <c r="C12" i="50" a="1"/>
  <c r="C12" i="50" s="1"/>
  <c r="I12" i="49" a="1"/>
  <c r="I12" i="49" s="1"/>
  <c r="G12" i="49" a="1"/>
  <c r="G12" i="49" s="1"/>
  <c r="E12" i="49" a="1"/>
  <c r="E12" i="49" s="1"/>
  <c r="C12" i="49" a="1"/>
  <c r="C12" i="49" s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2" authorId="0" shapeId="0" xr:uid="{7BC603A4-91F2-5F46-84E8-0C28667E413F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" authorId="0" shapeId="0" xr:uid="{9926EA91-2F6D-5044-8DDF-953BCD2286D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" authorId="0" shapeId="0" xr:uid="{692CF5C5-61C2-254D-BA4D-F41DE1DBC03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2" authorId="0" shapeId="0" xr:uid="{BAB04F39-3829-EE42-937B-F6CBAC9EBD1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" authorId="0" shapeId="0" xr:uid="{99CDE8C8-CA0C-3746-96D7-24765CE85DB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" authorId="0" shapeId="0" xr:uid="{33BF0BC6-7E94-324D-AA99-26E6DB24EB5A}">
      <text>
        <r>
          <rPr>
            <sz val="11"/>
            <color rgb="FF000000"/>
            <rFont val="Calibri"/>
            <family val="2"/>
          </rPr>
          <t>Aux observation status: Underestimated or based on underestimated data</t>
        </r>
      </text>
    </comment>
    <comment ref="C3" authorId="0" shapeId="0" xr:uid="{6BAA3781-DC14-644E-8141-EF6B64CA5A5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3" authorId="0" shapeId="0" xr:uid="{E27448F4-D43D-3A43-AEE1-A202F1E6ECB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3" authorId="0" shapeId="0" xr:uid="{565E8FBC-B7ED-B948-BEE8-6AF5AF23F6A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F3" authorId="0" shapeId="0" xr:uid="{452C88EF-393D-7B40-B0D5-65AD5ED3D577}">
      <text>
        <r>
          <rPr>
            <sz val="11"/>
            <color rgb="FF000000"/>
            <rFont val="Calibri"/>
            <family val="2"/>
          </rPr>
          <t>Observation status: Time series break</t>
        </r>
      </text>
    </comment>
    <comment ref="G3" authorId="0" shapeId="0" xr:uid="{2B46E2CA-A37E-B441-826E-E2F3E99398F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" authorId="0" shapeId="0" xr:uid="{C62B1540-EF09-304C-958E-047A4DAEB25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" authorId="0" shapeId="0" xr:uid="{176E8780-BD38-494E-86D1-0AEBF701A40A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4" authorId="0" shapeId="0" xr:uid="{7E615E8F-4F4B-DF45-8ACA-18296CF6D26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4" authorId="0" shapeId="0" xr:uid="{5EFCD25E-9156-7843-B5B0-FD1B7A4FDC9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4" authorId="0" shapeId="0" xr:uid="{C5CBCD1B-9C10-7C48-9A1B-58338629325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4" authorId="0" shapeId="0" xr:uid="{7911B77E-0E94-CB4A-825E-A171CE61E8E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4" authorId="0" shapeId="0" xr:uid="{9DE02BCB-0854-4445-9268-B2772C00346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4" authorId="0" shapeId="0" xr:uid="{0490CDEC-D8E6-D941-84C2-A926D5731B53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5" authorId="0" shapeId="0" xr:uid="{26F594C9-20D6-0E44-98A5-59451C989F8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5" authorId="0" shapeId="0" xr:uid="{8064E67F-7DF6-3D43-A4CB-945901A26825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E5" authorId="0" shapeId="0" xr:uid="{6FCDB4A4-0793-1949-8C44-EB9F2DAB1C3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5" authorId="0" shapeId="0" xr:uid="{718B4A9D-DEDE-784D-B5AE-CAF5AB5F1C2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5" authorId="0" shapeId="0" xr:uid="{DEE52F6C-C630-1946-8E51-4BBAE9FC8ED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5" authorId="0" shapeId="0" xr:uid="{4EC58F43-9BE3-F747-B8DA-4015923AC0A0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D6" authorId="0" shapeId="0" xr:uid="{882A9FD9-0E7D-4F49-8D79-6A885077B83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6" authorId="0" shapeId="0" xr:uid="{E47CF1AA-D9CC-F446-87F6-EBC51C17438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6" authorId="0" shapeId="0" xr:uid="{7F5B2AF1-5000-3942-B0C6-B47A6A32F64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B1D83884-9613-3C4B-92B5-4E37C764B6F5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6" authorId="0" shapeId="0" xr:uid="{883C79D0-5CE0-D34A-85C2-3CEACB0AF163}">
      <text>
        <r>
          <rPr>
            <sz val="11"/>
            <color rgb="FF000000"/>
            <rFont val="Calibri"/>
            <family val="2"/>
          </rPr>
          <t>Aux observation status: Underestimated or based on underestimated data</t>
        </r>
      </text>
    </comment>
    <comment ref="C7" authorId="0" shapeId="0" xr:uid="{0D09F444-0C9C-D542-AC56-B2C32F6214E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7" authorId="0" shapeId="0" xr:uid="{CB9C2908-4D9B-5D47-BB31-FB7EB3C2F67E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7" authorId="0" shapeId="0" xr:uid="{471D85A7-B79B-4E48-B789-9C1CD2C25FE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7" authorId="0" shapeId="0" xr:uid="{FAB0C152-232F-C346-958E-E227725D9C0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7" authorId="0" shapeId="0" xr:uid="{E56CE00C-F7F3-A345-BDF5-D74269CC9472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7" authorId="0" shapeId="0" xr:uid="{2EA6F42C-A24D-604B-BA8F-02B00465B135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B8" authorId="0" shapeId="0" xr:uid="{7D743614-4CA0-9043-BF21-3968ACE230D5}">
      <text>
        <r>
          <rPr>
            <sz val="11"/>
            <color rgb="FF000000"/>
            <rFont val="Calibri"/>
            <family val="2"/>
          </rPr>
          <t>Observation status: Time series break</t>
        </r>
      </text>
    </comment>
    <comment ref="E8" authorId="0" shapeId="0" xr:uid="{F744A677-AC5B-8C47-A77C-9D696DC27F6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8" authorId="0" shapeId="0" xr:uid="{F52EB57B-03BC-2447-A918-674F5BCDDCC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09F858E2-01FE-904B-96AC-2D354F94924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8" authorId="0" shapeId="0" xr:uid="{E28D9BF6-7F3B-FA40-B4AF-A9F843ED0DA6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9" authorId="0" shapeId="0" xr:uid="{581E15DB-0FCB-3A41-AA90-0ABEF8AC311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9" authorId="0" shapeId="0" xr:uid="{897B61BF-975D-1442-8A31-AB477D5920C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9" authorId="0" shapeId="0" xr:uid="{40C12D9A-6097-DD4A-A86A-2E950BEB773A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9" authorId="0" shapeId="0" xr:uid="{A96B3503-0A9A-7341-BC9D-C77172006B8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9" authorId="0" shapeId="0" xr:uid="{9489F1BB-A4FC-9240-8258-0A3C3EF46F84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E10" authorId="0" shapeId="0" xr:uid="{BF292FDE-0E4E-6B46-A68B-F7C53F3A6E1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0" authorId="0" shapeId="0" xr:uid="{B54A0680-4457-044E-A0F1-E8653441B80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0" authorId="0" shapeId="0" xr:uid="{A30FC13E-3DB8-0443-B754-453C43CBB4A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0" authorId="0" shapeId="0" xr:uid="{E9DEEF82-19C1-3245-9AF2-E33BA3C82A7C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B11" authorId="0" shapeId="0" xr:uid="{E3720CAD-88E9-DA4D-BA67-09BF9298C266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11" authorId="0" shapeId="0" xr:uid="{0CDD7297-C182-A14E-869B-A245B5E046A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1" authorId="0" shapeId="0" xr:uid="{C3DA6F9B-4555-2247-AE8F-5FA62048F26E}">
      <text>
        <r>
          <rPr>
            <sz val="11"/>
            <color rgb="FF000000"/>
            <rFont val="Calibri"/>
            <family val="2"/>
          </rPr>
          <t>Observation status: Definition differs</t>
        </r>
      </text>
    </comment>
    <comment ref="H11" authorId="0" shapeId="0" xr:uid="{160E2BCA-0AE7-4741-835B-0B30F896DFD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1" authorId="0" shapeId="0" xr:uid="{C7DFD40E-3742-3D42-AC25-B8D6A85ED1BC}">
      <text>
        <r>
          <rPr>
            <sz val="11"/>
            <color rgb="FF000000"/>
            <rFont val="Calibri"/>
            <family val="2"/>
          </rPr>
          <t>Observation status: Time series break</t>
        </r>
      </text>
    </comment>
    <comment ref="E12" authorId="0" shapeId="0" xr:uid="{14D6596D-0EF5-8441-A385-702D193A0D8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2" authorId="0" shapeId="0" xr:uid="{BD03A904-9544-8349-824B-4D450B14AD1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2" authorId="0" shapeId="0" xr:uid="{54D9A150-5C56-E04E-AA53-E6EE7512DFD6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3" authorId="0" shapeId="0" xr:uid="{D8D220EB-961B-8949-A748-1D5237C40E7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3" authorId="0" shapeId="0" xr:uid="{93A25769-27A5-E64A-8CF7-DADC327FB32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3" authorId="0" shapeId="0" xr:uid="{6D332EDC-C52F-754C-92FD-3BF5C401F9E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4" authorId="0" shapeId="0" xr:uid="{E19C3C13-CC84-5C4A-90C4-0B39031D256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4" authorId="0" shapeId="0" xr:uid="{A3FB0291-4281-7C40-B7A8-AA3076296629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14" authorId="0" shapeId="0" xr:uid="{6FC987B1-76B2-1F4B-A2FC-580CDB8E131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B15" authorId="0" shapeId="0" xr:uid="{0B3C1260-20A5-7F44-AD58-31253EAB5E7E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15" authorId="0" shapeId="0" xr:uid="{288E5200-4391-1343-9545-E98BB297EA0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D0BB4C27-A7CD-5840-997E-EFED42D106C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78418C4D-6254-D745-9532-85EDAA3B324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6" authorId="0" shapeId="0" xr:uid="{CA7BCD97-FCC1-5F46-9208-E725947F19F1}">
      <text>
        <r>
          <rPr>
            <sz val="11"/>
            <color rgb="FF000000"/>
            <rFont val="Calibri"/>
            <family val="2"/>
          </rPr>
          <t>Observation status: Definition differs</t>
        </r>
      </text>
    </comment>
    <comment ref="G16" authorId="0" shapeId="0" xr:uid="{8D0892DD-5C57-A94F-85D8-1FDF016E4AA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95B280DA-73F0-3948-8049-297F185B0E0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7" authorId="0" shapeId="0" xr:uid="{9EED1E85-9CF5-E441-A31F-F4AFB121EC0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7" authorId="0" shapeId="0" xr:uid="{F173CF8E-C95B-A442-849E-18AF1D193D6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7" authorId="0" shapeId="0" xr:uid="{23764C9B-2A12-1645-8ECA-D609F206593F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8" authorId="0" shapeId="0" xr:uid="{E2615F57-AC55-3D46-8D4A-88693A9E3CC7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18" authorId="0" shapeId="0" xr:uid="{FFBDC382-886D-0048-BC08-10771F33CEA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BBC1F06D-4B3B-034E-9B88-5F483732104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19" authorId="0" shapeId="0" xr:uid="{586391EA-F7F0-7747-A0EF-EC30F0926E8D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19" authorId="0" shapeId="0" xr:uid="{C0306DC3-89D5-E74E-9844-4019C7DC93C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19" authorId="0" shapeId="0" xr:uid="{064BA02F-4480-CE46-848F-1EFA8A2686E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9" authorId="0" shapeId="0" xr:uid="{ED01EB4E-98FF-A041-879D-6A8E8862D3D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0" authorId="0" shapeId="0" xr:uid="{6199F409-9C46-CB41-8E15-C2DD8D32648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0" authorId="0" shapeId="0" xr:uid="{8F9ACD9D-E49B-6245-B262-CD269CA01EB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0" authorId="0" shapeId="0" xr:uid="{C7738B51-9BB8-644B-B379-2D58B5DA68F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0" authorId="0" shapeId="0" xr:uid="{CEE45B22-16A0-EB41-9F19-EAC81B5257DC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B21" authorId="0" shapeId="0" xr:uid="{3AD8AC57-7344-9949-980E-D35D57959C94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1" authorId="0" shapeId="0" xr:uid="{21E5B737-8F4F-5C42-938F-CF6237AF322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1" authorId="0" shapeId="0" xr:uid="{1B4F2A03-1412-FF48-863E-353C0C7D2E1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1" authorId="0" shapeId="0" xr:uid="{555C71F1-3BF4-5B4F-A72D-563098E91F2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2" authorId="0" shapeId="0" xr:uid="{837C0907-3773-874B-99CE-5EB209BB3E1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2" authorId="0" shapeId="0" xr:uid="{244A99EF-C42E-D848-9016-65F3B090A3F5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3" authorId="0" shapeId="0" xr:uid="{15446515-8889-0847-BA82-F347DB069D8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3" authorId="0" shapeId="0" xr:uid="{250E5B1F-9B92-DC44-89BC-38CBDCDCBC1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EE02E3DB-B71E-3942-9CCC-B95C5749412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24" authorId="0" shapeId="0" xr:uid="{EDFEE89D-412F-174D-890A-1DD07B37BE3C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24" authorId="0" shapeId="0" xr:uid="{E97C0604-DC29-6047-A7E8-666DCC7F7A10}">
      <text>
        <r>
          <rPr>
            <sz val="11"/>
            <color rgb="FF000000"/>
            <rFont val="Calibri"/>
            <family val="2"/>
          </rPr>
          <t>Observation status: Definition differs</t>
        </r>
      </text>
    </comment>
    <comment ref="H24" authorId="0" shapeId="0" xr:uid="{A72DBE86-EDC5-0C45-8E2A-26C3F3AFC21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B25" authorId="0" shapeId="0" xr:uid="{2BC7190B-DAF7-BD40-BABA-7927A3D1DBC1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5" authorId="0" shapeId="0" xr:uid="{CA781287-4747-5249-90D0-1BD647B9002E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Estimated value
Observation status 3: Provisional value</t>
        </r>
      </text>
    </comment>
    <comment ref="G25" authorId="0" shapeId="0" xr:uid="{7554B542-2516-3B4D-81C3-0B6BD700383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06851949-3E55-414E-A15D-A637F5100832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6" authorId="0" shapeId="0" xr:uid="{6AA5CE5C-EC2D-5047-932E-5B8A1ADF3E0F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6" authorId="0" shapeId="0" xr:uid="{5BAB9B5E-9ACE-2D4E-AC42-C42D6EBD5558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6" authorId="0" shapeId="0" xr:uid="{DB44D2C9-C2BC-714A-BA14-DBE732FFACE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7" authorId="0" shapeId="0" xr:uid="{5014C514-0308-434B-AFC2-7843AC05129C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7" authorId="0" shapeId="0" xr:uid="{E73F619F-C168-8544-BEA9-6B24CFA93BA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7" authorId="0" shapeId="0" xr:uid="{E7F45789-0252-0A4A-815E-E2653C18CF6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8" authorId="0" shapeId="0" xr:uid="{73C4F199-7253-6544-AF8D-AAF3FBE2B110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8" authorId="0" shapeId="0" xr:uid="{03FBFD47-F0FD-9C4C-95D1-DA432765EEC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8" authorId="0" shapeId="0" xr:uid="{691AFEEA-D6A5-504C-B811-B166E4EA4A0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29" authorId="0" shapeId="0" xr:uid="{9A8BD343-A9DB-9342-AB9F-ABD59735E081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9" authorId="0" shapeId="0" xr:uid="{66C50027-DB43-024D-B4F8-734E356A89E3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Estimated value
Observation status 3: Provisional value</t>
        </r>
      </text>
    </comment>
    <comment ref="G29" authorId="0" shapeId="0" xr:uid="{1E55547A-5F71-944C-BA51-6917CE8A932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F45B9E24-5C5C-CF48-BA94-E84218DC68F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0" authorId="0" shapeId="0" xr:uid="{A9A7C471-75BA-BC48-B5C5-BDDE0D56191D}">
      <text>
        <r>
          <rPr>
            <sz val="11"/>
            <color rgb="FF000000"/>
            <rFont val="Calibri"/>
            <family val="2"/>
          </rPr>
          <t>Observation status: Provisional value</t>
        </r>
      </text>
    </comment>
    <comment ref="G30" authorId="0" shapeId="0" xr:uid="{3802E5F5-2256-E644-98C1-4A30445A3E6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0" authorId="0" shapeId="0" xr:uid="{B2CBBA7D-44E7-D546-8F3E-CDC1CB0D1C7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1" authorId="0" shapeId="0" xr:uid="{3E98852E-A904-844A-8918-A8DD27A5E8B0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1" authorId="0" shapeId="0" xr:uid="{ABC85D93-C31F-D140-ACC4-9531377A60C4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1" authorId="0" shapeId="0" xr:uid="{22557FF8-A52E-3A4E-ACCA-633498E03FD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2" authorId="0" shapeId="0" xr:uid="{4344E5B8-4ECC-BB47-B288-AF3CECA7C0D9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2" authorId="0" shapeId="0" xr:uid="{4BF95DE1-0726-7147-8C15-7ABF460DFED3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32" authorId="0" shapeId="0" xr:uid="{E8397EEF-43B4-D545-BF8E-5A084667281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3" authorId="0" shapeId="0" xr:uid="{53B0B29A-BE53-9D45-ACD4-AD157CFFA409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3" authorId="0" shapeId="0" xr:uid="{D3B9190D-7B2D-9E45-9625-FD110BE62DE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3" authorId="0" shapeId="0" xr:uid="{5EAD5635-AEB1-9149-B302-B9D2DF64E55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4" authorId="0" shapeId="0" xr:uid="{8815462B-E4C2-2143-A610-8BFE5F8B702F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4" authorId="0" shapeId="0" xr:uid="{E3AAA6F1-B3A1-C94C-93FD-2657525D15E7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
Observation status 3: Provisional value</t>
        </r>
      </text>
    </comment>
    <comment ref="H34" authorId="0" shapeId="0" xr:uid="{3806B5A3-39C5-9442-ADF3-80EB48DBC29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C2" authorId="0" shapeId="0" xr:uid="{CC1FC85E-6065-5F4C-B74F-6CD2CEDD93DB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D2" authorId="0" shapeId="0" xr:uid="{3AEB5DDE-8AFA-4B4F-A4B1-2BB3CA657BA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2" authorId="0" shapeId="0" xr:uid="{F140BEDA-A0B3-8340-98D0-3A4C57A824DF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2" authorId="0" shapeId="0" xr:uid="{DA404B5D-B726-7B4C-8599-24806A28F59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" authorId="0" shapeId="0" xr:uid="{C69BA5AC-FC10-134B-B7E8-1F21533976A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" authorId="0" shapeId="0" xr:uid="{7CC56F44-2CA3-604C-9352-7CE84657457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" authorId="0" shapeId="0" xr:uid="{9A1BDF04-5C2F-B54E-B954-5633363EEFD7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3" authorId="0" shapeId="0" xr:uid="{0EC46423-D698-D142-B11E-B3F1E67D114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3" authorId="0" shapeId="0" xr:uid="{2C79A34F-1358-1643-9760-AC0B3C525276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3" authorId="0" shapeId="0" xr:uid="{258E4970-7772-E44D-98AC-2AC472B8E2E9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F3" authorId="0" shapeId="0" xr:uid="{01E08631-6BA4-FF48-8BEE-48511DECB9B1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3" authorId="0" shapeId="0" xr:uid="{08822320-0008-C34B-82F3-01940D27C750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" authorId="0" shapeId="0" xr:uid="{0F6AAD3D-A21A-BB46-B07D-E9014A19B70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" authorId="0" shapeId="0" xr:uid="{256B7085-5B3D-2C4F-9251-954350C665F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3" authorId="0" shapeId="0" xr:uid="{DEBB0848-BE32-594F-8F19-D88129022531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4" authorId="0" shapeId="0" xr:uid="{538861FA-F5EE-9645-B173-A375F31FE21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4" authorId="0" shapeId="0" xr:uid="{496D21F5-4CFE-6942-AD4B-3752A096C7A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4" authorId="0" shapeId="0" xr:uid="{13C4C42D-CA6B-754C-B54D-87DAF619447F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4" authorId="0" shapeId="0" xr:uid="{F0556487-174C-A842-98E4-C7339F157918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4" authorId="0" shapeId="0" xr:uid="{D372A8C9-8036-D549-A5EF-56C1525CE83D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I4" authorId="0" shapeId="0" xr:uid="{C44AF32C-528C-D64D-A7B8-77BBCC6EC89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4" authorId="0" shapeId="0" xr:uid="{48A83515-A592-7943-84FE-39EFF4CE8DD6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5" authorId="0" shapeId="0" xr:uid="{C6C64762-C7A4-3D4B-A378-EBD988CCD9FF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D5" authorId="0" shapeId="0" xr:uid="{B7BEADD4-EA5E-C74A-9FB8-6FBE880DA61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5" authorId="0" shapeId="0" xr:uid="{228309E0-8669-E944-84B8-63DD1D6AC9F7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5" authorId="0" shapeId="0" xr:uid="{7057B996-E2EA-AA4C-8B0E-547F4D58739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5" authorId="0" shapeId="0" xr:uid="{7A395820-70C9-8744-9996-50C6A1608C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5" authorId="0" shapeId="0" xr:uid="{09C0D08E-30FC-824F-9A00-6F9EF132F2D5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5" authorId="0" shapeId="0" xr:uid="{26C2EA2A-3D38-6842-9C7B-8A94DAB85187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D6" authorId="0" shapeId="0" xr:uid="{26616B3A-F8FF-0344-8971-1D23C9020FFF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6" authorId="0" shapeId="0" xr:uid="{A987EF13-5E48-974C-B4C6-DA2805846F9B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6" authorId="0" shapeId="0" xr:uid="{D1B56992-7E6B-4D4A-BFD9-160E36F979A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6" authorId="0" shapeId="0" xr:uid="{5F1D0943-D9E2-E848-8131-6E1002E84A4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6" authorId="0" shapeId="0" xr:uid="{276AF50A-3CCB-EB4A-922B-A14F96128ADA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Estimated value</t>
        </r>
      </text>
    </comment>
    <comment ref="J6" authorId="0" shapeId="0" xr:uid="{6ABAF3AE-AD3E-8A46-BE00-4DEBAF2E8BCD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7" authorId="0" shapeId="0" xr:uid="{E131C212-E520-F54C-BDC0-E7589B1EFBD2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7" authorId="0" shapeId="0" xr:uid="{9CD357B4-179C-914F-A138-04D10DFAC2E7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7" authorId="0" shapeId="0" xr:uid="{D9616C74-C0A9-D74A-B5EA-E15AAA04B4E3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7" authorId="0" shapeId="0" xr:uid="{5F4DD14B-23C0-E641-B0AC-519753799A8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7" authorId="0" shapeId="0" xr:uid="{216C5FD3-3E6E-4A4A-8120-9AFCE60BD6E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7" authorId="0" shapeId="0" xr:uid="{A1483F61-7BD1-684C-B559-432702C33F9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7" authorId="0" shapeId="0" xr:uid="{B2084E9E-3FB0-5247-A12F-A15063E77C76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B8" authorId="0" shapeId="0" xr:uid="{1998FA1F-9849-DA4A-BB0A-F4AEBBFC2E8F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8" authorId="0" shapeId="0" xr:uid="{1403620F-1CB0-9945-9EA9-29E3AF8D3C44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8" authorId="0" shapeId="0" xr:uid="{94DA133E-36AD-5448-B6E2-395A96BE0F7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8" authorId="0" shapeId="0" xr:uid="{7F544137-A883-FB4D-8D56-1BF2A185463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8" authorId="0" shapeId="0" xr:uid="{A33BC00A-5B2E-2348-857E-A4ECA30B9CC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8" authorId="0" shapeId="0" xr:uid="{E60D486B-B62D-7B4B-A3E0-234F04FCD1A2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C9" authorId="0" shapeId="0" xr:uid="{B9C1DFBB-F886-D04D-A411-2858F7ACB7E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9" authorId="0" shapeId="0" xr:uid="{7B9EDCD6-0E99-9F4F-8E17-46F78EBBB7D0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9" authorId="0" shapeId="0" xr:uid="{62796707-303D-3C44-B3C3-148B7B3EC2AD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9" authorId="0" shapeId="0" xr:uid="{FF1E062A-202A-484D-B023-C8E6507ED7F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9" authorId="0" shapeId="0" xr:uid="{A555DD9C-D784-E24A-BCE0-680E7CED1927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9" authorId="0" shapeId="0" xr:uid="{9640BC35-F46B-F54A-B7AE-ED66BF85B0E7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E10" authorId="0" shapeId="0" xr:uid="{5BBAD08D-DF84-3D4B-9467-1FFAFF1642FB}">
      <text>
        <r>
          <rPr>
            <sz val="11"/>
            <color theme="1"/>
            <rFont val="Calibri"/>
            <family val="2"/>
            <scheme val="minor"/>
          </rPr>
          <t>Observation status: Definition differs
Observation status 2: Estimated value</t>
        </r>
      </text>
    </comment>
    <comment ref="G10" authorId="0" shapeId="0" xr:uid="{C9B81BD8-0DBA-0F48-9E57-BEA45A50DFA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0" authorId="0" shapeId="0" xr:uid="{3D41B4A7-1F85-C247-B269-7BD08CA7787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0" authorId="0" shapeId="0" xr:uid="{D97E0961-652F-4D45-823A-ADEC439B987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10" authorId="0" shapeId="0" xr:uid="{4381B07C-D28C-D94D-ACD9-D85B9C09456F}">
      <text>
        <r>
          <rPr>
            <sz val="11"/>
            <color theme="1"/>
            <rFont val="Calibri"/>
            <family val="2"/>
            <scheme val="minor"/>
          </rPr>
          <t>Aux observation status: Underestimated or based on underestimated data</t>
        </r>
      </text>
    </comment>
    <comment ref="B11" authorId="0" shapeId="0" xr:uid="{FC4063D9-A2CF-C341-919F-76B2508FCDAB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11" authorId="0" shapeId="0" xr:uid="{37561976-325E-2745-80A5-6450CB48139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1" authorId="0" shapeId="0" xr:uid="{CC89DCCC-C1C9-FF4D-9778-1951DAB7A38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1" authorId="0" shapeId="0" xr:uid="{6B6D152C-9B11-654E-B3B1-2CA0535A5467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1" authorId="0" shapeId="0" xr:uid="{B12D1BBD-BE6E-714D-888F-20B66708165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11" authorId="0" shapeId="0" xr:uid="{7A2295B3-8D70-2846-BE17-6A69B1B44196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12" authorId="0" shapeId="0" xr:uid="{44F17362-B0E0-1C4C-8054-051058AA919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2" authorId="0" shapeId="0" xr:uid="{7B25F91D-F3A6-6440-A65E-C489A5D8BB2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2" authorId="0" shapeId="0" xr:uid="{06134068-A4A7-5346-B0E8-4A5D41DEE78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2" authorId="0" shapeId="0" xr:uid="{DEDD9C1B-C4D3-334E-8AA6-060CFDF0DEB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3" authorId="0" shapeId="0" xr:uid="{C1431A4D-7CE5-8A4B-9A23-484B34CAC33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3" authorId="0" shapeId="0" xr:uid="{B22C7F88-AE9C-4140-84FE-4F90E3A5DBC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3" authorId="0" shapeId="0" xr:uid="{7BDC5699-FBAA-3545-A008-37E27E6542F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3" authorId="0" shapeId="0" xr:uid="{10EA6C8C-E345-8642-81E3-2DC927B18A56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4" authorId="0" shapeId="0" xr:uid="{B7D263EB-6283-BE4B-AF6D-AA00839B045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4" authorId="0" shapeId="0" xr:uid="{321EDB77-775C-004E-A626-600E2E470148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14" authorId="0" shapeId="0" xr:uid="{DC944E79-2040-DB42-A788-8567CBCE1D25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4" authorId="0" shapeId="0" xr:uid="{A9D185FD-D96D-D948-A307-D6ADF713BBD4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B15" authorId="0" shapeId="0" xr:uid="{48A8974F-787A-0F4F-B5A4-F95D60F9F932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E15" authorId="0" shapeId="0" xr:uid="{401D0933-DAC9-B147-BDE2-BBCEB3F5FA1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5" authorId="0" shapeId="0" xr:uid="{35961CAA-E4E1-9C41-90A5-15BAFEC0479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5" authorId="0" shapeId="0" xr:uid="{D1E6B1B3-3FC1-5E48-ADAE-B884F1A48AE2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5" authorId="0" shapeId="0" xr:uid="{6846E0FC-5CD2-2145-890C-451A3D894B5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6" authorId="0" shapeId="0" xr:uid="{473E3BCD-3A1C-B243-8618-976ADE06A2E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6" authorId="0" shapeId="0" xr:uid="{DB68F1E5-0A95-0047-9F8E-D2059CA7125C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6" authorId="0" shapeId="0" xr:uid="{6A38C7A6-722A-2B41-9A51-0F65607CB42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6" authorId="0" shapeId="0" xr:uid="{A56CCDE0-9071-8C4E-8B53-3C90E9BA470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7" authorId="0" shapeId="0" xr:uid="{1F350681-897A-424B-B527-7595012A5AC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G17" authorId="0" shapeId="0" xr:uid="{BE4A7BCD-FC04-C749-802D-8D72B4DE277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7" authorId="0" shapeId="0" xr:uid="{2ABBB55C-86EE-584A-BE6A-DB019C1CD317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7" authorId="0" shapeId="0" xr:uid="{D12BC65A-9C00-A647-82BC-DD6A05CB390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E18" authorId="0" shapeId="0" xr:uid="{B09193C5-C3E6-2D4C-941D-1CBE809BCD0E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18" authorId="0" shapeId="0" xr:uid="{7B8D9CB3-1874-6944-902C-BD09C746BE91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8" authorId="0" shapeId="0" xr:uid="{25288793-7338-EE4C-81C4-3C63F0A2879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8" authorId="0" shapeId="0" xr:uid="{73F11188-F902-E941-9797-198E46CC535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19" authorId="0" shapeId="0" xr:uid="{1F2A58AA-FE25-2344-9A3E-33C668964D12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19" authorId="0" shapeId="0" xr:uid="{F7BB12D2-82F9-C44B-A93A-A521E0061C4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19" authorId="0" shapeId="0" xr:uid="{4595522A-35FA-DF4D-A86A-C1CB0143374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19" authorId="0" shapeId="0" xr:uid="{58F56C30-943D-094D-BF3E-E449DC6A496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19" authorId="0" shapeId="0" xr:uid="{0A2607C6-5D80-B64B-AFC7-2F9733864E6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0" authorId="0" shapeId="0" xr:uid="{2DEA25E8-5288-4440-886D-CC89CEDD97D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0" authorId="0" shapeId="0" xr:uid="{929A0004-D3B2-9F43-9CE8-F869E329F8F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0" authorId="0" shapeId="0" xr:uid="{93A7CCDD-D870-9A4E-8764-9E6706CE4F5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0" authorId="0" shapeId="0" xr:uid="{BE77FEF8-A4F5-114F-953A-2949742ACD86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J20" authorId="0" shapeId="0" xr:uid="{2AC656E8-79C2-2448-BFF2-6DEF13356905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B21" authorId="0" shapeId="0" xr:uid="{A4CAFB0B-20A0-0D4E-819B-D612A447B5F9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1" authorId="0" shapeId="0" xr:uid="{2C2E6FB5-4147-C24E-8F79-02DA3187ECC6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1" authorId="0" shapeId="0" xr:uid="{0F0D2C5D-6C80-CA44-AA61-8ADCA1D777AE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1" authorId="0" shapeId="0" xr:uid="{5E2F8261-4882-2640-928C-91951144147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1" authorId="0" shapeId="0" xr:uid="{89ADBED6-950C-AB46-BA4E-F7DDEE7FFC7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2" authorId="0" shapeId="0" xr:uid="{26C25990-5277-6044-AA5F-EB41E607E15B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2" authorId="0" shapeId="0" xr:uid="{2C99ACC9-0A80-6C48-9547-D48CCC62DC3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2" authorId="0" shapeId="0" xr:uid="{EB0B683B-B11C-BD4F-AE65-416D2BD6C79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3" authorId="0" shapeId="0" xr:uid="{CD1A4ED2-C5F9-2C42-AA31-8D700D980D3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G23" authorId="0" shapeId="0" xr:uid="{B7D94780-BC90-DF41-804F-057F656EA19A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3" authorId="0" shapeId="0" xr:uid="{E31A0D52-32D2-7648-9768-9BF3FA434EF1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3" authorId="0" shapeId="0" xr:uid="{1F7E6A2F-B34C-4F4C-8A62-9AD663201762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D24" authorId="0" shapeId="0" xr:uid="{293F85A0-9AC0-8442-85F3-53D8FBA333DE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G24" authorId="0" shapeId="0" xr:uid="{83EFA713-A6E8-EA4C-9F7E-65E148716A79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4" authorId="0" shapeId="0" xr:uid="{6238398D-D12D-0548-8570-835584D647A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4" authorId="0" shapeId="0" xr:uid="{4BB522DF-E9D7-BB45-810A-83868B61C05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B25" authorId="0" shapeId="0" xr:uid="{D2278B24-C2A4-584B-81B1-058DAA1591E5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5" authorId="0" shapeId="0" xr:uid="{4D6A1EE1-F130-4B46-9E52-93B753E91E5C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Estimated value
Observation status 3: Provisional value</t>
        </r>
      </text>
    </comment>
    <comment ref="G25" authorId="0" shapeId="0" xr:uid="{607C4CA4-0FB0-3644-9222-CC983D5D8965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5" authorId="0" shapeId="0" xr:uid="{B5255AF2-3F8C-8B4C-B06F-E2E037D89A1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5" authorId="0" shapeId="0" xr:uid="{F6DFC909-8B28-E24E-B0C0-72C1441B032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6" authorId="0" shapeId="0" xr:uid="{9954A2DA-DAF0-5F42-994C-9EE7A7912DC9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6" authorId="0" shapeId="0" xr:uid="{D6FD07C6-E7E0-3142-AB37-99440856E435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6" authorId="0" shapeId="0" xr:uid="{F7865FC2-C3FC-1346-BA1F-122407B9BF0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6" authorId="0" shapeId="0" xr:uid="{1E7A93A0-165C-3940-B291-51AA6C4EAC4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7" authorId="0" shapeId="0" xr:uid="{FE1D3B4C-09FF-6849-91C4-D506047F764F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7" authorId="0" shapeId="0" xr:uid="{BCF1F4BB-BB08-AB48-9F2D-BF2CBA3CE65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27" authorId="0" shapeId="0" xr:uid="{BF1B0243-5D23-4046-B3B9-FD2E19A52B1D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7" authorId="0" shapeId="0" xr:uid="{83B114EE-EFDC-0049-B6B9-10623C1CA500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28" authorId="0" shapeId="0" xr:uid="{0F8B18B2-CE9F-2545-929B-B4DC0F6C18F4}">
      <text>
        <r>
          <rPr>
            <sz val="11"/>
            <color theme="1"/>
            <rFont val="Calibri"/>
            <family val="2"/>
            <scheme val="minor"/>
          </rPr>
          <t>Observation status: Estimated value
Observation status 2: Provisional value</t>
        </r>
      </text>
    </comment>
    <comment ref="G28" authorId="0" shapeId="0" xr:uid="{583CE20A-34EA-4E4C-B3A0-1502F622F18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8" authorId="0" shapeId="0" xr:uid="{A320511B-6A59-F948-9352-9CED9DE3D0C4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8" authorId="0" shapeId="0" xr:uid="{C6AE9D9D-0237-1249-9185-D0EEA29EDF3D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D29" authorId="0" shapeId="0" xr:uid="{12DDC675-6E9C-CA44-AD89-6E74F7F1D56B}">
      <text>
        <r>
          <rPr>
            <sz val="11"/>
            <color theme="1"/>
            <rFont val="Calibri"/>
            <family val="2"/>
            <scheme val="minor"/>
          </rPr>
          <t>Observation status: Time series break</t>
        </r>
      </text>
    </comment>
    <comment ref="F29" authorId="0" shapeId="0" xr:uid="{48FD1D2E-77CA-7740-B95A-966FC330ED83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Estimated value
Observation status 3: Provisional value</t>
        </r>
      </text>
    </comment>
    <comment ref="G29" authorId="0" shapeId="0" xr:uid="{B370053A-599B-DC40-8D33-C9164AF94E27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29" authorId="0" shapeId="0" xr:uid="{10F0DDDA-00AC-8B46-A210-D6FBE94A7E9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29" authorId="0" shapeId="0" xr:uid="{96F23B81-2833-904A-8C54-2FA42847F515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0" authorId="0" shapeId="0" xr:uid="{56CA24E8-0FF9-6440-98FD-FD807B385C14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0" authorId="0" shapeId="0" xr:uid="{B9747FEC-3BC0-9C47-9813-0C31FAE86B4D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0" authorId="0" shapeId="0" xr:uid="{25311076-8587-E842-8F0D-D133D2EB30FA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0" authorId="0" shapeId="0" xr:uid="{AD22E9F9-E2D2-E14A-B92B-A378065B8C8B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1" authorId="0" shapeId="0" xr:uid="{37FFA84D-7278-3A42-8A82-59537993322D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1" authorId="0" shapeId="0" xr:uid="{2EFCB6F4-44F3-AC4B-9972-7F5FB7E7AE43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1" authorId="0" shapeId="0" xr:uid="{AB76A8B6-DA84-1A4A-96F7-2364024FFA69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1" authorId="0" shapeId="0" xr:uid="{756D4ACB-0EFC-C448-85B5-D665EAEDE5A8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F32" authorId="0" shapeId="0" xr:uid="{B6314BFC-BBF8-F344-9BA9-A04B706FC388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2" authorId="0" shapeId="0" xr:uid="{E2B858CD-94CE-7541-8ADC-987BFDF16930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</t>
        </r>
      </text>
    </comment>
    <comment ref="H32" authorId="0" shapeId="0" xr:uid="{9F2C1E4F-9C68-2145-AA1B-F4BF619CB0F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2" authorId="0" shapeId="0" xr:uid="{0AB3DD8F-22A0-9F4F-A17F-148A78DE7237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C33" authorId="0" shapeId="0" xr:uid="{4B137544-7DBE-2A44-A525-72E877B3933A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F33" authorId="0" shapeId="0" xr:uid="{3C320EAD-DDFD-6847-8763-8ED24B1EA748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3" authorId="0" shapeId="0" xr:uid="{1B472B56-1E44-8644-B8AD-A845E5FF8862}">
      <text>
        <r>
          <rPr>
            <sz val="11"/>
            <color theme="1"/>
            <rFont val="Calibri"/>
            <family val="2"/>
            <scheme val="minor"/>
          </rPr>
          <t>Observation status: Definition differs</t>
        </r>
      </text>
    </comment>
    <comment ref="H33" authorId="0" shapeId="0" xr:uid="{A112FFA8-2595-DE4E-A250-6EC1DB919E03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I33" authorId="0" shapeId="0" xr:uid="{79344921-BFF8-6044-B342-6449DC8C845C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  <comment ref="B34" authorId="0" shapeId="0" xr:uid="{D427C07B-66C4-144A-89F9-5BB482BAED05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C34" authorId="0" shapeId="0" xr:uid="{24AFF1CD-64D1-BA49-A56E-828BBE9AFF29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E34" authorId="0" shapeId="0" xr:uid="{29B99304-9098-5A4F-B1B4-0357A1162F86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F34" authorId="0" shapeId="0" xr:uid="{8B687A24-2774-4D4A-9FBD-50AE8649C6B3}">
      <text>
        <r>
          <rPr>
            <sz val="11"/>
            <color theme="1"/>
            <rFont val="Calibri"/>
            <family val="2"/>
            <scheme val="minor"/>
          </rPr>
          <t>Observation status: Provisional value</t>
        </r>
      </text>
    </comment>
    <comment ref="G34" authorId="0" shapeId="0" xr:uid="{15123898-7F84-0542-A1DE-F7CC9F86C63A}">
      <text>
        <r>
          <rPr>
            <sz val="11"/>
            <color theme="1"/>
            <rFont val="Calibri"/>
            <family val="2"/>
            <scheme val="minor"/>
          </rPr>
          <t>Observation status: Time series break
Observation status 2: Definition differs
Observation status 3: Provisional value</t>
        </r>
      </text>
    </comment>
    <comment ref="H34" authorId="0" shapeId="0" xr:uid="{70E9DB7A-B9B0-4045-A5BD-5D692F66B37B}">
      <text>
        <r>
          <rPr>
            <sz val="11"/>
            <color rgb="FF000000"/>
            <rFont val="Calibri"/>
            <family val="2"/>
          </rPr>
          <t>Observation status: Estimated value</t>
        </r>
      </text>
    </comment>
    <comment ref="I34" authorId="0" shapeId="0" xr:uid="{CFFAF525-F113-724A-8C52-A93F8C2679BE}">
      <text>
        <r>
          <rPr>
            <sz val="11"/>
            <color theme="1"/>
            <rFont val="Calibri"/>
            <family val="2"/>
            <scheme val="minor"/>
          </rPr>
          <t>Observation status: Estimated value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<sst xmlns="http://schemas.openxmlformats.org/spreadsheetml/2006/main" count="1384" uniqueCount="637">
  <si>
    <t>Year</t>
  </si>
  <si>
    <t>Education Related - Personal Travel Expenses (Exports) (raw)</t>
  </si>
  <si>
    <t>Total</t>
  </si>
  <si>
    <t>Share of Total US Enrollment</t>
  </si>
  <si>
    <t>Asia</t>
  </si>
  <si>
    <t>Africa, Sub-saharan</t>
  </si>
  <si>
    <t>Europe</t>
  </si>
  <si>
    <t xml:space="preserve">Latin America and Carribian </t>
  </si>
  <si>
    <t>North America</t>
  </si>
  <si>
    <t>Oceania</t>
  </si>
  <si>
    <t>Middle East and North Africa</t>
  </si>
  <si>
    <t>Stateless</t>
  </si>
  <si>
    <t>Count</t>
  </si>
  <si>
    <t>Percent Asia</t>
  </si>
  <si>
    <t>Bachelors</t>
  </si>
  <si>
    <t>Masters</t>
  </si>
  <si>
    <t>Doctorate</t>
  </si>
  <si>
    <t>United States</t>
  </si>
  <si>
    <t>Mathematics</t>
  </si>
  <si>
    <t>Reading</t>
  </si>
  <si>
    <t>Science</t>
  </si>
  <si>
    <t>-</t>
  </si>
  <si>
    <t>Math</t>
  </si>
  <si>
    <t>N/A</t>
  </si>
  <si>
    <t>Received</t>
  </si>
  <si>
    <t>Approved</t>
  </si>
  <si>
    <t>Denied</t>
  </si>
  <si>
    <t>Approval Rate</t>
  </si>
  <si>
    <t>china</t>
  </si>
  <si>
    <t>us</t>
  </si>
  <si>
    <t>China</t>
  </si>
  <si>
    <t>Rest of the World</t>
  </si>
  <si>
    <t>Avg Count</t>
  </si>
  <si>
    <t>Avg Rank</t>
  </si>
  <si>
    <t>Company</t>
  </si>
  <si>
    <t>DeepSeek</t>
  </si>
  <si>
    <t>OpenAI</t>
  </si>
  <si>
    <t>DeepMind</t>
  </si>
  <si>
    <t>Anthropic</t>
  </si>
  <si>
    <t>Current Affiliation - Domestic</t>
  </si>
  <si>
    <t>Current Affiliation - International</t>
  </si>
  <si>
    <t>Current Affiliation - Competitor</t>
  </si>
  <si>
    <t>Retention Type</t>
  </si>
  <si>
    <t>Purely Domestic</t>
  </si>
  <si>
    <t>Started Domestic, Trained Abroad, Returned</t>
  </si>
  <si>
    <t>Started Abroad, Came to China, Stayed</t>
  </si>
  <si>
    <t>Started Domestic, Trained Abroad, Stayed Abroad</t>
  </si>
  <si>
    <t>Started Abroad, Came to China, Left</t>
  </si>
  <si>
    <t>Purely Abroad</t>
  </si>
  <si>
    <t>Started Abroad, Came to the US, Stayed</t>
  </si>
  <si>
    <t>Started Abroad, Came to the US, Left</t>
  </si>
  <si>
    <t>New Approved</t>
  </si>
  <si>
    <t>Renewal Approved</t>
  </si>
  <si>
    <t>New Denials</t>
  </si>
  <si>
    <t>Renewal Denials</t>
  </si>
  <si>
    <t>Germany</t>
  </si>
  <si>
    <t>United Kingdom</t>
  </si>
  <si>
    <t>Mexico</t>
  </si>
  <si>
    <t>France</t>
  </si>
  <si>
    <t>Brazil</t>
  </si>
  <si>
    <t>Spain</t>
  </si>
  <si>
    <t>Republic of Korea</t>
  </si>
  <si>
    <t>Colombia</t>
  </si>
  <si>
    <t>Thailand</t>
  </si>
  <si>
    <t>Certified</t>
  </si>
  <si>
    <t>Withdrawn</t>
  </si>
  <si>
    <t>Certified-expired</t>
  </si>
  <si>
    <t>Grand Total</t>
  </si>
  <si>
    <t>India</t>
  </si>
  <si>
    <t>Canada</t>
  </si>
  <si>
    <t>Phillippines</t>
  </si>
  <si>
    <t>Vietnam</t>
  </si>
  <si>
    <t>Pakistan</t>
  </si>
  <si>
    <t>Country</t>
  </si>
  <si>
    <t>Year Founded</t>
  </si>
  <si>
    <t>No of Founders</t>
  </si>
  <si>
    <t>Founder Makeup Binary</t>
  </si>
  <si>
    <t>Pitchbook Valuation</t>
  </si>
  <si>
    <t>some foreign</t>
  </si>
  <si>
    <t>Has a Confirmed Foreign Founder or Co Founder</t>
  </si>
  <si>
    <t>Databricks</t>
  </si>
  <si>
    <t>XAI</t>
  </si>
  <si>
    <t>Figure AI</t>
  </si>
  <si>
    <t>all us</t>
  </si>
  <si>
    <t>Has No Confirmed Foreign Founder or Co Founder</t>
  </si>
  <si>
    <t>Anduril Industries</t>
  </si>
  <si>
    <t>Scale AI</t>
  </si>
  <si>
    <t>UiPath</t>
  </si>
  <si>
    <t>all foreign</t>
  </si>
  <si>
    <t>Perplexity AI</t>
  </si>
  <si>
    <t>Unity Technologies</t>
  </si>
  <si>
    <t>Surge AI</t>
  </si>
  <si>
    <t>Mistral AI</t>
  </si>
  <si>
    <t>Samsara</t>
  </si>
  <si>
    <t>Crusoe</t>
  </si>
  <si>
    <t>Notion</t>
  </si>
  <si>
    <t>Sierra</t>
  </si>
  <si>
    <t>Thinking Machine Labs</t>
  </si>
  <si>
    <t>Anysphere</t>
  </si>
  <si>
    <t>VAST Data</t>
  </si>
  <si>
    <t>TuSimple</t>
  </si>
  <si>
    <t>Cerebras Systems</t>
  </si>
  <si>
    <t>Gong</t>
  </si>
  <si>
    <t>Glean</t>
  </si>
  <si>
    <t>Cohere</t>
  </si>
  <si>
    <t>SentinelOne</t>
  </si>
  <si>
    <t>ElevenLabs</t>
  </si>
  <si>
    <t>DataRobot</t>
  </si>
  <si>
    <t>Nuro</t>
  </si>
  <si>
    <t>Abridge</t>
  </si>
  <si>
    <t>Shield AI</t>
  </si>
  <si>
    <t>6sense</t>
  </si>
  <si>
    <t>Abnormal Security</t>
  </si>
  <si>
    <t>Harvey</t>
  </si>
  <si>
    <t>Runway</t>
  </si>
  <si>
    <t>SambaNova</t>
  </si>
  <si>
    <t>Skild AI</t>
  </si>
  <si>
    <t>Pony.ai</t>
  </si>
  <si>
    <t>Hugging Face</t>
  </si>
  <si>
    <t>Socure</t>
  </si>
  <si>
    <t>Verkada</t>
  </si>
  <si>
    <t>Dataminr</t>
  </si>
  <si>
    <t>AlphaSense</t>
  </si>
  <si>
    <t>Aurora Solar</t>
  </si>
  <si>
    <t>Inflection</t>
  </si>
  <si>
    <t>Dataiku</t>
  </si>
  <si>
    <t>Duolingo</t>
  </si>
  <si>
    <t>OpenEvidence</t>
  </si>
  <si>
    <t>Komodo Health</t>
  </si>
  <si>
    <t>Together AI</t>
  </si>
  <si>
    <t>Ironclad</t>
  </si>
  <si>
    <t>Uniphore</t>
  </si>
  <si>
    <t>Clay</t>
  </si>
  <si>
    <t>Icertis</t>
  </si>
  <si>
    <t>Moveworks</t>
  </si>
  <si>
    <t>Clari</t>
  </si>
  <si>
    <t>Recursion</t>
  </si>
  <si>
    <t>Insitro</t>
  </si>
  <si>
    <t>Kodiak Robotics</t>
  </si>
  <si>
    <t>Lambda</t>
  </si>
  <si>
    <t>Windsurf (formerly Codeium)</t>
  </si>
  <si>
    <t>Uptake</t>
  </si>
  <si>
    <t>Baseten</t>
  </si>
  <si>
    <t>Synthesia</t>
  </si>
  <si>
    <t>Eightfold AI</t>
  </si>
  <si>
    <t>Matterport</t>
  </si>
  <si>
    <t>DeepL</t>
  </si>
  <si>
    <t>Feedzai</t>
  </si>
  <si>
    <t>Portugal</t>
  </si>
  <si>
    <t>Generate Biomedicines</t>
  </si>
  <si>
    <t>Mercor</t>
  </si>
  <si>
    <t>Writer</t>
  </si>
  <si>
    <t>Weights &amp; Biases</t>
  </si>
  <si>
    <t>Hyperscience</t>
  </si>
  <si>
    <t>Owkin</t>
  </si>
  <si>
    <t>ASAPP</t>
  </si>
  <si>
    <t>Bright Machines</t>
  </si>
  <si>
    <t>Lemonade</t>
  </si>
  <si>
    <t>AEye</t>
  </si>
  <si>
    <t>Decagon</t>
  </si>
  <si>
    <t>Jasper</t>
  </si>
  <si>
    <t>Mashgin</t>
  </si>
  <si>
    <t>Sakana AI</t>
  </si>
  <si>
    <t>Japan</t>
  </si>
  <si>
    <t>Upstart</t>
  </si>
  <si>
    <t>Netradyne</t>
  </si>
  <si>
    <t>Anyscale</t>
  </si>
  <si>
    <t>Biofourmis</t>
  </si>
  <si>
    <t>Instabase</t>
  </si>
  <si>
    <t>MosaicML</t>
  </si>
  <si>
    <t>Snorkel AI</t>
  </si>
  <si>
    <t>BigPanda</t>
  </si>
  <si>
    <t>Viz.ai</t>
  </si>
  <si>
    <t>Standard Cognition</t>
  </si>
  <si>
    <t>Vectra AI</t>
  </si>
  <si>
    <t>Fundbox</t>
  </si>
  <si>
    <t>People.ai</t>
  </si>
  <si>
    <t>Sana</t>
  </si>
  <si>
    <t>Sweden</t>
  </si>
  <si>
    <t>PathAI</t>
  </si>
  <si>
    <t>Adept</t>
  </si>
  <si>
    <t>Aurora Innovation</t>
  </si>
  <si>
    <t>Character.AI</t>
  </si>
  <si>
    <t>Drift</t>
  </si>
  <si>
    <t>LangChain</t>
  </si>
  <si>
    <t>Speak</t>
  </si>
  <si>
    <t>Vise</t>
  </si>
  <si>
    <t>World Labs</t>
  </si>
  <si>
    <t>K Health</t>
  </si>
  <si>
    <t>ExtraHop</t>
  </si>
  <si>
    <t>Observe.AI</t>
  </si>
  <si>
    <t>Gatik</t>
  </si>
  <si>
    <t>Labelbox</t>
  </si>
  <si>
    <t>Domino Data Lab</t>
  </si>
  <si>
    <t>Cresta</t>
  </si>
  <si>
    <t>Pinecone</t>
  </si>
  <si>
    <t>May Mobility</t>
  </si>
  <si>
    <t>Tractian</t>
  </si>
  <si>
    <t>Hebbia</t>
  </si>
  <si>
    <t>MetaMap</t>
  </si>
  <si>
    <t>StackBlitz</t>
  </si>
  <si>
    <t>Brain Corp.</t>
  </si>
  <si>
    <t>AISERA</t>
  </si>
  <si>
    <t>Mutiny</t>
  </si>
  <si>
    <t>Vannevar Labs</t>
  </si>
  <si>
    <t>Sisu Data</t>
  </si>
  <si>
    <t>Mirage (previously Captions)</t>
  </si>
  <si>
    <t>Descript</t>
  </si>
  <si>
    <t>Fireworks AI</t>
  </si>
  <si>
    <t>Overjet</t>
  </si>
  <si>
    <t>SafeGraph</t>
  </si>
  <si>
    <t>Photoroom</t>
  </si>
  <si>
    <t>AMP Robotics</t>
  </si>
  <si>
    <t>Suno</t>
  </si>
  <si>
    <t>PolyAI</t>
  </si>
  <si>
    <t>Replicant</t>
  </si>
  <si>
    <t>Pika</t>
  </si>
  <si>
    <t>DeepMap</t>
  </si>
  <si>
    <t>Genesis Therapeutics</t>
  </si>
  <si>
    <t>Atomwise</t>
  </si>
  <si>
    <t>Entos</t>
  </si>
  <si>
    <t>Tomorrow.io (formerly ClimaCell)</t>
  </si>
  <si>
    <t>Synack</t>
  </si>
  <si>
    <t>Luminance</t>
  </si>
  <si>
    <t>Lilt</t>
  </si>
  <si>
    <t>Replicate</t>
  </si>
  <si>
    <t>Nauto</t>
  </si>
  <si>
    <t>Verge Genomics</t>
  </si>
  <si>
    <t>Abacus.AI</t>
  </si>
  <si>
    <t>Pachama</t>
  </si>
  <si>
    <t>Unlearn.AI</t>
  </si>
  <si>
    <t>DefinedAI</t>
  </si>
  <si>
    <t>Sprig</t>
  </si>
  <si>
    <t>Gretel AI</t>
  </si>
  <si>
    <t>AssemblyAI</t>
  </si>
  <si>
    <t>Brightseed</t>
  </si>
  <si>
    <t>Suki AI</t>
  </si>
  <si>
    <t>Intenseye</t>
  </si>
  <si>
    <t>Deepgram</t>
  </si>
  <si>
    <t>Kumo.AI</t>
  </si>
  <si>
    <t>Leonardo.AI</t>
  </si>
  <si>
    <t>Australia</t>
  </si>
  <si>
    <t>OctoML</t>
  </si>
  <si>
    <t>Sama</t>
  </si>
  <si>
    <t>Unstructured</t>
  </si>
  <si>
    <t>Deepcell</t>
  </si>
  <si>
    <t>Bossa Nova Robotics</t>
  </si>
  <si>
    <t>Trigo</t>
  </si>
  <si>
    <t>Israel</t>
  </si>
  <si>
    <t>Coactive AI</t>
  </si>
  <si>
    <t>Weaviate</t>
  </si>
  <si>
    <t>Xnor.ai</t>
  </si>
  <si>
    <t>Whisper</t>
  </si>
  <si>
    <t>Pymetrics</t>
  </si>
  <si>
    <t>Slingshot Aerospace</t>
  </si>
  <si>
    <t>Tamr</t>
  </si>
  <si>
    <t>Neeva</t>
  </si>
  <si>
    <t>Karius</t>
  </si>
  <si>
    <t>Doxel</t>
  </si>
  <si>
    <t>Eigen Technologies</t>
  </si>
  <si>
    <t>ClosedLoop</t>
  </si>
  <si>
    <t>MindsDB</t>
  </si>
  <si>
    <t>Arize AI</t>
  </si>
  <si>
    <t>twoXAR</t>
  </si>
  <si>
    <t>Fiddler Labs</t>
  </si>
  <si>
    <t>Armorblox</t>
  </si>
  <si>
    <t>Bayesian Health</t>
  </si>
  <si>
    <t>Textio</t>
  </si>
  <si>
    <t>ConverseNow</t>
  </si>
  <si>
    <t>Rev.com</t>
  </si>
  <si>
    <t>Krisp Technologies</t>
  </si>
  <si>
    <t>Forethought</t>
  </si>
  <si>
    <t>Ghost</t>
  </si>
  <si>
    <t>Ubiquity6</t>
  </si>
  <si>
    <t>Matroid</t>
  </si>
  <si>
    <t>Algorithmia</t>
  </si>
  <si>
    <t>Amira Learning</t>
  </si>
  <si>
    <t>Cleanlab</t>
  </si>
  <si>
    <t>Hippo Insurance</t>
  </si>
  <si>
    <t>Kintsugi Mindful Wellness</t>
  </si>
  <si>
    <t>UnifyID</t>
  </si>
  <si>
    <t>Falkonry</t>
  </si>
  <si>
    <t>Aira</t>
  </si>
  <si>
    <t>Hivemapper</t>
  </si>
  <si>
    <t>Canvas</t>
  </si>
  <si>
    <t>RevComm</t>
  </si>
  <si>
    <t>Drishti</t>
  </si>
  <si>
    <t>Affectiva</t>
  </si>
  <si>
    <t>Nines</t>
  </si>
  <si>
    <t>Embark Trucks</t>
  </si>
  <si>
    <t>MindBridge</t>
  </si>
  <si>
    <t>ImagenAI</t>
  </si>
  <si>
    <t>Ezra</t>
  </si>
  <si>
    <t>Noodle.ai</t>
  </si>
  <si>
    <t>Sentropy</t>
  </si>
  <si>
    <t>FarmWise Labs</t>
  </si>
  <si>
    <t>CrowdAI</t>
  </si>
  <si>
    <t>SigOpt</t>
  </si>
  <si>
    <t>Tome</t>
  </si>
  <si>
    <t>Zebrium</t>
  </si>
  <si>
    <t>Rulai</t>
  </si>
  <si>
    <t>Facet</t>
  </si>
  <si>
    <t>Deep 6</t>
  </si>
  <si>
    <t>Blue Hexagon</t>
  </si>
  <si>
    <t>Sleek</t>
  </si>
  <si>
    <t>Bearing</t>
  </si>
  <si>
    <t>Brain Technologies</t>
  </si>
  <si>
    <t>Cradle</t>
  </si>
  <si>
    <t>Intelligencia</t>
  </si>
  <si>
    <t>Midjourney</t>
  </si>
  <si>
    <t>Narrativ</t>
  </si>
  <si>
    <t>Rosebud AI</t>
  </si>
  <si>
    <t>Waabi</t>
  </si>
  <si>
    <t>the Netherlands</t>
  </si>
  <si>
    <t>Poland</t>
  </si>
  <si>
    <t>Iran</t>
  </si>
  <si>
    <t>Romania</t>
  </si>
  <si>
    <t>Taiwan</t>
  </si>
  <si>
    <t>Russia</t>
  </si>
  <si>
    <t>Denmark</t>
  </si>
  <si>
    <t>Armenia</t>
  </si>
  <si>
    <t>Lebanon</t>
  </si>
  <si>
    <t>Greece</t>
  </si>
  <si>
    <t>Egypt</t>
  </si>
  <si>
    <t>Argentina</t>
  </si>
  <si>
    <t>Ukraine</t>
  </si>
  <si>
    <t>Turkey</t>
  </si>
  <si>
    <t>Switzerland</t>
  </si>
  <si>
    <t>Slovenia</t>
  </si>
  <si>
    <t>Singapore</t>
  </si>
  <si>
    <t>Kenya</t>
  </si>
  <si>
    <t>Hong Kong</t>
  </si>
  <si>
    <t>Chile</t>
  </si>
  <si>
    <t>Bulgaria</t>
  </si>
  <si>
    <t>Austria</t>
  </si>
  <si>
    <t>Uruguay</t>
  </si>
  <si>
    <t>United Arab Emirates</t>
  </si>
  <si>
    <t>Syria</t>
  </si>
  <si>
    <t>South Africa</t>
  </si>
  <si>
    <t>Slovakia</t>
  </si>
  <si>
    <t>Serbia</t>
  </si>
  <si>
    <t>Scotland</t>
  </si>
  <si>
    <t>Nigeria</t>
  </si>
  <si>
    <t>Nicaraguan</t>
  </si>
  <si>
    <t>New Zealand</t>
  </si>
  <si>
    <t>Italy</t>
  </si>
  <si>
    <t>Iceland</t>
  </si>
  <si>
    <t>Hungary</t>
  </si>
  <si>
    <t>Guatemala</t>
  </si>
  <si>
    <t>Finland</t>
  </si>
  <si>
    <t>Canda</t>
  </si>
  <si>
    <t>Belgium</t>
  </si>
  <si>
    <t>Belarus</t>
  </si>
  <si>
    <t>Albania</t>
  </si>
  <si>
    <t>Computer Science</t>
  </si>
  <si>
    <t>Engineering</t>
  </si>
  <si>
    <t>History</t>
  </si>
  <si>
    <t>Psychology</t>
  </si>
  <si>
    <t>immigrant_binary</t>
  </si>
  <si>
    <t>chemistry</t>
  </si>
  <si>
    <t>medicine</t>
  </si>
  <si>
    <t>physics</t>
  </si>
  <si>
    <t>Born Citizen</t>
  </si>
  <si>
    <t>Expat</t>
  </si>
  <si>
    <t>Immigrant</t>
  </si>
  <si>
    <t>bornCountry (normalized)</t>
  </si>
  <si>
    <t>Norway</t>
  </si>
  <si>
    <t>Czech Republic</t>
  </si>
  <si>
    <t>Venezuela</t>
  </si>
  <si>
    <t>Tunisia</t>
  </si>
  <si>
    <t>South Korea</t>
  </si>
  <si>
    <t>Lithuania</t>
  </si>
  <si>
    <t>Jordan</t>
  </si>
  <si>
    <t>Ireland</t>
  </si>
  <si>
    <t>Percent</t>
  </si>
  <si>
    <t>China (projected)</t>
  </si>
  <si>
    <t>India (projected)</t>
  </si>
  <si>
    <t>United Kingdom (projected)</t>
  </si>
  <si>
    <t>United States (projected)</t>
  </si>
  <si>
    <t>Doctorate recipients (number)</t>
  </si>
  <si>
    <t>Agricultural sciences and natural resources</t>
  </si>
  <si>
    <t>Biological and biomedical sciences</t>
  </si>
  <si>
    <t>Computer and information sciences</t>
  </si>
  <si>
    <t>Education</t>
  </si>
  <si>
    <t>Geosciences, atmospheric, and ocean sciences</t>
  </si>
  <si>
    <t>Health sciences</t>
  </si>
  <si>
    <t>Mathematics and statistics</t>
  </si>
  <si>
    <t>Physical sciences</t>
  </si>
  <si>
    <t>Social sciences</t>
  </si>
  <si>
    <t>Physical Sciences</t>
  </si>
  <si>
    <t>Computer Sciences</t>
  </si>
  <si>
    <t>Health Sciences</t>
  </si>
  <si>
    <t>Social Sciences</t>
  </si>
  <si>
    <t>Non-sciences</t>
  </si>
  <si>
    <t>Male</t>
  </si>
  <si>
    <t>Female</t>
  </si>
  <si>
    <t>Male %</t>
  </si>
  <si>
    <t>Female %</t>
  </si>
  <si>
    <t>U.S. citizen or permanent resident</t>
  </si>
  <si>
    <t>Temporary visa holder</t>
  </si>
  <si>
    <t>Unknown citizenship</t>
  </si>
  <si>
    <t>Employed in the U.S. Labor Force in a STEM Occupation Directed Related to Science and Engineering</t>
  </si>
  <si>
    <t>Employed in the U.S. Labor Force in a STEM Occupation Indirectly Related to Science and Engineering</t>
  </si>
  <si>
    <t>Employed in the U.S. Labor Force in a STEM Occupation with a STEM middle skill</t>
  </si>
  <si>
    <t>Employed in the U.S. Labor Force in a non-STEM Occupation</t>
  </si>
  <si>
    <t>Unemployed in the U.S. Labor Force</t>
  </si>
  <si>
    <t>Not in the U.S. labor force</t>
  </si>
  <si>
    <t>Multidisciplinary/ interdisciplinary sciences</t>
  </si>
  <si>
    <t>*</t>
  </si>
  <si>
    <t>Government</t>
  </si>
  <si>
    <t>Africa</t>
  </si>
  <si>
    <t>Americas</t>
  </si>
  <si>
    <t>Australia-Oceania</t>
  </si>
  <si>
    <t>Middle East</t>
  </si>
  <si>
    <t>Region and country or economy unknown</t>
  </si>
  <si>
    <t>Fine and Applied Arts</t>
  </si>
  <si>
    <t>Humanities</t>
  </si>
  <si>
    <t>Math and Computer Science</t>
  </si>
  <si>
    <t>Physical and Life Sciences</t>
  </si>
  <si>
    <t>U.S. citizens and permanent residents</t>
  </si>
  <si>
    <t>Temporary visa holders</t>
  </si>
  <si>
    <t>Country or economy and field</t>
  </si>
  <si>
    <t>Bangladesh</t>
  </si>
  <si>
    <t>Saudi Arabia</t>
  </si>
  <si>
    <t>Nepal</t>
  </si>
  <si>
    <t>D</t>
  </si>
  <si>
    <t>Total Int'l Scholars</t>
  </si>
  <si>
    <t>Health professions</t>
  </si>
  <si>
    <t>Math and computer science</t>
  </si>
  <si>
    <t>Physical and life sciences</t>
  </si>
  <si>
    <t>No. Students Enrolled in a Study Abroad Program</t>
  </si>
  <si>
    <t>Business &amp; Management</t>
  </si>
  <si>
    <t>STEM Fields</t>
  </si>
  <si>
    <t>Other</t>
  </si>
  <si>
    <t>Africa, Sub-Saharan</t>
  </si>
  <si>
    <t>Latin America &amp; Caribbean</t>
  </si>
  <si>
    <t>Middle East &amp; North Africa</t>
  </si>
  <si>
    <t>Antarctica</t>
  </si>
  <si>
    <t>Multiple Destinations</t>
  </si>
  <si>
    <t>Percent of Science Post-docs that are international students</t>
  </si>
  <si>
    <t>Percent of Engineering Post-docs that are international students</t>
  </si>
  <si>
    <t>Percent of Heatlh Post-docs that are international students</t>
  </si>
  <si>
    <t>Latin America and the Carribean</t>
  </si>
  <si>
    <t>Kazakhstan</t>
  </si>
  <si>
    <t>Great Britain</t>
  </si>
  <si>
    <t>United States of America</t>
  </si>
  <si>
    <t>Morocco</t>
  </si>
  <si>
    <t>Uzbekistan</t>
  </si>
  <si>
    <t>Palestine</t>
  </si>
  <si>
    <t>Bachelors_STEM_Total</t>
  </si>
  <si>
    <t>Bachelors_Grand_Total</t>
  </si>
  <si>
    <t>Masters_STEM_Total</t>
  </si>
  <si>
    <t>Masters_Grand_Total</t>
  </si>
  <si>
    <t>Doctorate_STEM_Total</t>
  </si>
  <si>
    <t>Doctorate_Grand_Total</t>
  </si>
  <si>
    <t>bachelors</t>
  </si>
  <si>
    <t>masters</t>
  </si>
  <si>
    <t>doctorates</t>
  </si>
  <si>
    <t>professional</t>
  </si>
  <si>
    <t>doctors</t>
  </si>
  <si>
    <t>Biological, agricultural, and other life scientists</t>
  </si>
  <si>
    <t>Computer and mathematical scientists</t>
  </si>
  <si>
    <t>Physical and related scientists</t>
  </si>
  <si>
    <t>Social and related scientists</t>
  </si>
  <si>
    <t>Engineers</t>
  </si>
  <si>
    <t>S&amp;E-related occupations</t>
  </si>
  <si>
    <t>Non-S&amp;E occupations</t>
  </si>
  <si>
    <t>Expenditure on education (% of GDP)</t>
  </si>
  <si>
    <t>Total current expenditure</t>
  </si>
  <si>
    <t>2004/2009</t>
  </si>
  <si>
    <t>2012/2017</t>
  </si>
  <si>
    <t>1990/1994</t>
  </si>
  <si>
    <t>1996/2001</t>
  </si>
  <si>
    <t>pct_papers_with_us</t>
  </si>
  <si>
    <t>Share</t>
  </si>
  <si>
    <t>10-Year Rolling Average of US Affiliated Scientists Who Won A Nobel Prize in STEM</t>
  </si>
  <si>
    <t>10-Year Rolling Average of US Born Scientists Who Won A Nobel Prize in STEM</t>
  </si>
  <si>
    <t>10-Year Rolling Average of US Affiliated Scientists Who Won A Turing Award</t>
  </si>
  <si>
    <t>10-Year Rolling Average of US Born Scientists Who Won A Turing Award</t>
  </si>
  <si>
    <t>20-Year Rolling Average of US Affiliated Scientists Who Won A Fields Medal</t>
  </si>
  <si>
    <t>UK</t>
  </si>
  <si>
    <t>US</t>
  </si>
  <si>
    <t>5-year stay rate</t>
  </si>
  <si>
    <t>10-year stay rate</t>
  </si>
  <si>
    <t>EB1</t>
  </si>
  <si>
    <t>EB2</t>
  </si>
  <si>
    <t>EB3</t>
  </si>
  <si>
    <t>Gap with the native-born</t>
  </si>
  <si>
    <t>Luxembourg</t>
  </si>
  <si>
    <t>Costa Rica</t>
  </si>
  <si>
    <t>Czechia</t>
  </si>
  <si>
    <t>Estonia</t>
  </si>
  <si>
    <t>OECD average</t>
  </si>
  <si>
    <t>EU27</t>
  </si>
  <si>
    <t>Slovak Republic</t>
  </si>
  <si>
    <t>Latvia</t>
  </si>
  <si>
    <t>Netherlands</t>
  </si>
  <si>
    <t>Türkiye</t>
  </si>
  <si>
    <t>Korea</t>
  </si>
  <si>
    <t>OECD</t>
  </si>
  <si>
    <t>Life Sciences</t>
  </si>
  <si>
    <t>Average</t>
  </si>
  <si>
    <t>Top 10</t>
  </si>
  <si>
    <t>% change from previous year</t>
  </si>
  <si>
    <t>South Korea (projected)</t>
  </si>
  <si>
    <t>Germany (projected)</t>
  </si>
  <si>
    <t>Total Int. Enrollment</t>
  </si>
  <si>
    <t>STEM Share of Total International Enrollment</t>
  </si>
  <si>
    <t>Social Science</t>
  </si>
  <si>
    <t>STEM and Social Science Share of Total International Enrollment</t>
  </si>
  <si>
    <t>STEM Enrollments</t>
  </si>
  <si>
    <t>Social Science Enrollments</t>
  </si>
  <si>
    <t>Indonesia</t>
  </si>
  <si>
    <t>Non STEM</t>
  </si>
  <si>
    <t>Science, technology, engineering, and math</t>
  </si>
  <si>
    <t>Business and management</t>
  </si>
  <si>
    <t>Fine and applied arts</t>
  </si>
  <si>
    <t>Legal studies and law enforcement*</t>
  </si>
  <si>
    <t>Communications and journalism*</t>
  </si>
  <si>
    <t>Other fields of specialization</t>
  </si>
  <si>
    <t>Agriculture</t>
  </si>
  <si>
    <t>Non-STEM</t>
  </si>
  <si>
    <t>Company Normalized</t>
  </si>
  <si>
    <t>Deloitte and Subsidiaries</t>
  </si>
  <si>
    <t>HCL Technologies Limited and Subsidiaries</t>
  </si>
  <si>
    <t>Accenture and Subsidiaries</t>
  </si>
  <si>
    <t>IBM and subsidiaries</t>
  </si>
  <si>
    <t>Cognizant Technology Solutions</t>
  </si>
  <si>
    <t>Infosys Limited</t>
  </si>
  <si>
    <t xml:space="preserve"> Tata Consultancy</t>
  </si>
  <si>
    <t xml:space="preserve">WIPRO Limited </t>
  </si>
  <si>
    <t>Google Inc</t>
  </si>
  <si>
    <t>Capgemini America Inc</t>
  </si>
  <si>
    <t>All Other Companies</t>
  </si>
  <si>
    <t>Top 10 Companies by Count</t>
  </si>
  <si>
    <t>2004/2009 Survey</t>
  </si>
  <si>
    <t>Left without return</t>
  </si>
  <si>
    <t>Degree Attained, Or Still Enrolled by Last Survey Year</t>
  </si>
  <si>
    <t>No degree, left without return year 1</t>
  </si>
  <si>
    <t>No degree, left without return year 2</t>
  </si>
  <si>
    <t>No degree, left without return year 3</t>
  </si>
  <si>
    <t>No degree, left without return year 4</t>
  </si>
  <si>
    <t>No degree, left without return year 5</t>
  </si>
  <si>
    <t>No degree, left without return year 6</t>
  </si>
  <si>
    <t>No degree, still enrolled</t>
  </si>
  <si>
    <t>2012/2017 Survey</t>
  </si>
  <si>
    <t>Attained Degree by Final Survey Year</t>
  </si>
  <si>
    <t>Never</t>
  </si>
  <si>
    <t>Once by Year 3</t>
  </si>
  <si>
    <t>Once by Year 6</t>
  </si>
  <si>
    <t>More than Once By Year 6</t>
  </si>
  <si>
    <t>More than Once By Year 3</t>
  </si>
  <si>
    <t xml:space="preserve">2004/2009 </t>
  </si>
  <si>
    <t>Entered STEM, Graduated STEM</t>
  </si>
  <si>
    <t>Entered STEM, Graduated non-STEM</t>
  </si>
  <si>
    <t>Entered non-STEM, Graduated non-STEM</t>
  </si>
  <si>
    <t>Entered non-STEM, Graduated STEM</t>
  </si>
  <si>
    <t>pct_papers_with_cn</t>
  </si>
  <si>
    <t>Country Name</t>
  </si>
  <si>
    <t>European Union</t>
  </si>
  <si>
    <t>Share of All International Students</t>
  </si>
  <si>
    <t>Percent of International PhD Recipients who reported they 'intended to stay' in the United States</t>
  </si>
  <si>
    <t>Non-science and engineering</t>
  </si>
  <si>
    <t>Academe</t>
  </si>
  <si>
    <t>Industry or business</t>
  </si>
  <si>
    <t>Nonprofit organization</t>
  </si>
  <si>
    <t>Other or unknown</t>
  </si>
  <si>
    <t>Certified (Current + Expired)</t>
  </si>
  <si>
    <t>New Denaisl</t>
  </si>
  <si>
    <t>New Denied</t>
  </si>
  <si>
    <t>Renewal Denied</t>
  </si>
  <si>
    <t>Institution</t>
  </si>
  <si>
    <t>Tsinghua University</t>
  </si>
  <si>
    <t>Shanghai Jiao Tong University</t>
  </si>
  <si>
    <t>Carnegie Mellon University</t>
  </si>
  <si>
    <t>Zhejiang University</t>
  </si>
  <si>
    <t>Peking University</t>
  </si>
  <si>
    <t>Hong Kong University of Science and Technology</t>
  </si>
  <si>
    <t>National University of Singapore</t>
  </si>
  <si>
    <t>Univ. of Illinois at Urbana-Champaign</t>
  </si>
  <si>
    <t>Chinese Academy of Sciences</t>
  </si>
  <si>
    <t>Korea Advanced Institute of Science &amp; Technology</t>
  </si>
  <si>
    <t>Georgia Institute of Technology</t>
  </si>
  <si>
    <t>Fudan University</t>
  </si>
  <si>
    <t>Nanjing University</t>
  </si>
  <si>
    <t>Nanyang Technological University</t>
  </si>
  <si>
    <t>New York University</t>
  </si>
  <si>
    <t>Univ. of California - Berkeley</t>
  </si>
  <si>
    <t>Univ. of California - San Diego</t>
  </si>
  <si>
    <t>University of Maryland - College Park</t>
  </si>
  <si>
    <t>University of Michigan</t>
  </si>
  <si>
    <t>University of Toronto</t>
  </si>
  <si>
    <t>Harbin Institute of Technology</t>
  </si>
  <si>
    <t>Renmin University of China</t>
  </si>
  <si>
    <t>Chinese University of Hong Kong</t>
  </si>
  <si>
    <t>Seoul National University</t>
  </si>
  <si>
    <t>University of Edinburgh</t>
  </si>
  <si>
    <t>Cornell University</t>
  </si>
  <si>
    <t>Northeastern University</t>
  </si>
  <si>
    <t>Stanford University</t>
  </si>
  <si>
    <t>University of Washington</t>
  </si>
  <si>
    <t>Agricultural Sciences</t>
  </si>
  <si>
    <t>Agricultural/Animal/Plant/Veterinary Science and Related Fields</t>
  </si>
  <si>
    <t>Architecture and Related Services</t>
  </si>
  <si>
    <t>Area, Ethnic, Cultural, Gender, and Group Studies</t>
  </si>
  <si>
    <t>Biological and Biomedical Sciences</t>
  </si>
  <si>
    <t>Business, Management, Marketing, and Related Support Services</t>
  </si>
  <si>
    <t>Communication, Journalism, and Related Programs</t>
  </si>
  <si>
    <t>Communications Technologies/Technicians and Support Services</t>
  </si>
  <si>
    <t>Computer and Information Sciences and Support Services</t>
  </si>
  <si>
    <t>Construction Trades</t>
  </si>
  <si>
    <t>Culinary, Entertainment, and Personal Services</t>
  </si>
  <si>
    <t>Engineering/Engineering-Related Technologies/Technicians</t>
  </si>
  <si>
    <t>English Language and Literature/Letters</t>
  </si>
  <si>
    <t>Family and Consumer Sciences/Human Sciences</t>
  </si>
  <si>
    <t>Foreign Languages, Literatures, and Linguistics</t>
  </si>
  <si>
    <t>Health Professions and Related Programs</t>
  </si>
  <si>
    <t>Homeland Security, Law Enforcement, Firefighting and Related Protective Services</t>
  </si>
  <si>
    <t>Job-Seeking/Changing Skills Programs, Other</t>
  </si>
  <si>
    <t>Legal Professions and Studies</t>
  </si>
  <si>
    <t>Liberal Arts and Sciences, General Studies and Humanities</t>
  </si>
  <si>
    <t>Library Science</t>
  </si>
  <si>
    <t>Mathematics and Statistics</t>
  </si>
  <si>
    <t>Mechanic and Repair Technologies/Technicians</t>
  </si>
  <si>
    <t>Military Technologies and Applied Sciences</t>
  </si>
  <si>
    <t>Multi/Interdisciplinary Studies</t>
  </si>
  <si>
    <t>Natural Resources and Conservation</t>
  </si>
  <si>
    <t>Parks, Recreation, Leisure, Fitness, and Kinesiology</t>
  </si>
  <si>
    <t>Philosophy and Religious Studies</t>
  </si>
  <si>
    <t>Precision Production</t>
  </si>
  <si>
    <t>Public Administration and Social Service Professions</t>
  </si>
  <si>
    <t>Sales and Marketing Operations/Marketing and Distribution</t>
  </si>
  <si>
    <t>Science Technologies/Technicians</t>
  </si>
  <si>
    <t>Theology and Religious Vocations</t>
  </si>
  <si>
    <t>Transportation and Materials Moving</t>
  </si>
  <si>
    <t>Visual and Performing Arts</t>
  </si>
  <si>
    <t>Vocational Home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</si>
</sst>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6" formatCode="&quot;$&quot;#,##0_);[Red]\(&quot;$&quot;#,##0\)"/>
    <numFmt numFmtId="43" formatCode="_(* #,##0.00_);_(* \(#,##0.00\);_(* &quot;-&quot;??_);_(@_)"/>
    <numFmt numFmtId="164" formatCode="0.0%"/>
    <numFmt numFmtId="165" formatCode="\B\ \ \ #,##0;\B\ \ \ \-#,##0"/>
    <numFmt numFmtId="166" formatCode="\P\ \ \ #,##0;\P\ \ \ \-#,##0"/>
    <numFmt numFmtId="167" formatCode="\E\ \ \ #,##0;\E\ \ \ \-#,##0"/>
    <numFmt numFmtId="168" formatCode="\D\ \ \ #,##0;\D\ \ \ \-#,##0"/>
    <numFmt numFmtId="169" formatCode="\B\,\E\,\P\ \ \ #,##0;\B\,\E\,\P\ \ \ \-#,##0"/>
    <numFmt numFmtId="170" formatCode="\E\,\P\ \ \ #,##0;\E\,\P\ \ \ \-#,##0"/>
    <numFmt numFmtId="171" formatCode="\B\,\D\ \ \ #,##0;\B\,\D\ \ \ \-#,##0"/>
    <numFmt numFmtId="172" formatCode="\B\,\D\,\P\ \ \ #,##0;\B\,\D\,\P\ \ \ \-#,##0"/>
    <numFmt numFmtId="173" formatCode="\M\2\ \ \ #,##0;\M\2\ \ \ \-#,##0"/>
    <numFmt numFmtId="174" formatCode="\B\ \ \ #,##0.00;\B\ \ \ \-#,##0.00"/>
    <numFmt numFmtId="175" formatCode="\P\ \ \ #,##0.00;\P\ \ \ \-#,##0.00"/>
    <numFmt numFmtId="176" formatCode="\E\ \ \ #,##0.00;\E\ \ \ \-#,##0.00"/>
    <numFmt numFmtId="177" formatCode="\D\ \ \ #,##0.00;\D\ \ \ \-#,##0.00"/>
    <numFmt numFmtId="178" formatCode="\D\,\E\ \ \ #,##0.00;\D\,\E\ \ \ \-#,##0.00"/>
    <numFmt numFmtId="179" formatCode="\B\,\E\,\P\ \ \ #,##0.00;\B\,\E\,\P\ \ \ \-#,##0.00"/>
    <numFmt numFmtId="180" formatCode="\E\,\P\ \ \ #,##0.00;\E\,\P\ \ \ \-#,##0.00"/>
    <numFmt numFmtId="181" formatCode="\B\,\D\ \ \ #,##0.00;\B\,\D\ \ \ \-#,##0.00"/>
    <numFmt numFmtId="182" formatCode="\B\,\D\,\P\ \ \ #,##0.00;\B\,\D\,\P\ \ \ \-#,##0.00"/>
    <numFmt numFmtId="183" formatCode="\B\,\E\ \ \ #,##0.00;\B\,\E\ \ \ \-#,##0.00"/>
    <numFmt numFmtId="184" formatCode="\M\2\ \ \ #,##0.00;\M\2\ \ \ \-#,##0.00"/>
    <numFmt numFmtId="185" formatCode="_(* #,##0_);_(* \(#,##0\);_(* &quot;-&quot;??_);_(@_)"/>
    <numFmt numFmtId="186" formatCode="0.0"/>
    <numFmt numFmtId="187" formatCode="#,##0.0"/>
    <numFmt numFmtId="188" formatCode="0.0000000000000%"/>
  </numFmts>
  <fonts count="4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1356CF"/>
      <name val="Arial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theme="1"/>
      <name val="Roboto"/>
    </font>
    <font>
      <sz val="9"/>
      <color theme="1"/>
      <name val="Roboto"/>
    </font>
    <font>
      <i/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</font>
    <font>
      <sz val="11"/>
      <color rgb="FF333333"/>
      <name val="Calibri"/>
      <family val="2"/>
      <scheme val="minor"/>
    </font>
    <font>
      <sz val="10"/>
      <color rgb="FF383A42"/>
      <name val="Arial"/>
      <family val="2"/>
    </font>
    <font>
      <sz val="11"/>
      <name val="Arial"/>
      <family val="2"/>
    </font>
    <font>
      <sz val="10"/>
      <color rgb="FF333333"/>
      <name val="Roboto"/>
    </font>
    <font>
      <sz val="9"/>
      <color rgb="FF333333"/>
      <name val="Roboto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Assistant"/>
    </font>
    <font>
      <b/>
      <sz val="10"/>
      <color rgb="FFFFFFFF"/>
      <name val="Avenir Book"/>
      <family val="2"/>
    </font>
    <font>
      <sz val="10"/>
      <name val="Avenir Book"/>
      <family val="2"/>
    </font>
    <font>
      <sz val="10"/>
      <color rgb="FF565252"/>
      <name val="Avenir Book"/>
      <family val="2"/>
    </font>
    <font>
      <sz val="10"/>
      <color rgb="FF171717"/>
      <name val="Calibri"/>
      <family val="2"/>
      <scheme val="minor"/>
    </font>
    <font>
      <sz val="10"/>
      <color rgb="FF171717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MS Sans Serif"/>
      <family val="2"/>
    </font>
    <font>
      <b/>
      <u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Arial"/>
      <family val="2"/>
    </font>
    <font>
      <sz val="16"/>
      <color rgb="FF303030"/>
      <name val="Arial"/>
      <family val="2"/>
    </font>
    <font>
      <sz val="11"/>
      <color rgb="FF303030"/>
      <name val="Calibri"/>
      <family val="2"/>
      <scheme val="minor"/>
    </font>
    <font>
      <b/>
      <u/>
      <sz val="11"/>
      <name val="Calibri"/>
      <family val="2"/>
    </font>
    <font>
      <sz val="11"/>
      <color rgb="FF171717"/>
      <name val="Roboto"/>
    </font>
    <font>
      <sz val="11"/>
      <color rgb="FF171717"/>
      <name val="Roboto"/>
    </font>
    <font>
      <sz val="12"/>
      <color rgb="FF171717"/>
      <name val="Roboto"/>
    </font>
    <font>
      <sz val="11"/>
      <color rgb="FF171717"/>
      <name val="Arial"/>
      <family val="2"/>
    </font>
    <font>
      <sz val="9"/>
      <color rgb="FF333333"/>
      <name val="Arial"/>
      <family val="2"/>
    </font>
    <font>
      <sz val="12"/>
      <color theme="1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7DEF6"/>
      </patternFill>
    </fill>
    <fill>
      <patternFill patternType="solid">
        <fgColor rgb="FFE2F2FB"/>
      </patternFill>
    </fill>
    <fill>
      <patternFill patternType="solid">
        <fgColor rgb="FF943634"/>
        <bgColor indexed="64"/>
      </patternFill>
    </fill>
    <fill>
      <patternFill patternType="solid">
        <fgColor rgb="FFFBF80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1" fillId="0" borderId="0"/>
    <xf numFmtId="0" fontId="33" fillId="0" borderId="0"/>
    <xf numFmtId="0" fontId="33" fillId="0" borderId="0"/>
    <xf numFmtId="0" fontId="2" fillId="0" borderId="0"/>
  </cellStyleXfs>
  <cellXfs count="137">
    <xf numFmtId="0" fontId="0" fillId="0" borderId="0" xfId="0"/>
    <xf numFmtId="0" fontId="4" fillId="0" borderId="0" xfId="0" applyFont="1"/>
    <xf numFmtId="0" fontId="5" fillId="0" borderId="0" xfId="0" applyFont="1"/>
    <xf numFmtId="9" fontId="0" fillId="0" borderId="0" xfId="2" applyFont="1"/>
    <xf numFmtId="164" fontId="4" fillId="0" borderId="0" xfId="2" applyNumberFormat="1" applyFont="1"/>
    <xf numFmtId="164" fontId="0" fillId="0" borderId="0" xfId="2" applyNumberFormat="1" applyFont="1"/>
    <xf numFmtId="3" fontId="0" fillId="0" borderId="0" xfId="0" applyNumberFormat="1"/>
    <xf numFmtId="0" fontId="6" fillId="0" borderId="0" xfId="0" applyFont="1"/>
    <xf numFmtId="0" fontId="1" fillId="0" borderId="0" xfId="1"/>
    <xf numFmtId="0" fontId="7" fillId="0" borderId="0" xfId="0" applyFont="1"/>
    <xf numFmtId="3" fontId="6" fillId="0" borderId="0" xfId="0" applyNumberFormat="1" applyFont="1"/>
    <xf numFmtId="10" fontId="6" fillId="0" borderId="0" xfId="0" applyNumberFormat="1" applyFont="1"/>
    <xf numFmtId="0" fontId="8" fillId="0" borderId="0" xfId="0" applyFont="1"/>
    <xf numFmtId="0" fontId="3" fillId="0" borderId="0" xfId="0" applyFont="1"/>
    <xf numFmtId="3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3" fontId="1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9" fontId="6" fillId="0" borderId="0" xfId="2" applyFont="1"/>
    <xf numFmtId="43" fontId="0" fillId="0" borderId="0" xfId="3" applyFont="1"/>
    <xf numFmtId="10" fontId="0" fillId="0" borderId="0" xfId="2" applyNumberFormat="1" applyFont="1"/>
    <xf numFmtId="10" fontId="0" fillId="0" borderId="0" xfId="0" applyNumberFormat="1"/>
    <xf numFmtId="6" fontId="6" fillId="0" borderId="0" xfId="0" applyNumberFormat="1" applyFont="1"/>
    <xf numFmtId="0" fontId="17" fillId="0" borderId="0" xfId="0" applyFont="1"/>
    <xf numFmtId="0" fontId="0" fillId="0" borderId="0" xfId="0" applyAlignment="1">
      <alignment horizontal="left"/>
    </xf>
    <xf numFmtId="0" fontId="5" fillId="2" borderId="1" xfId="0" applyFont="1" applyFill="1" applyBorder="1"/>
    <xf numFmtId="0" fontId="5" fillId="2" borderId="0" xfId="0" applyFont="1" applyFill="1"/>
    <xf numFmtId="0" fontId="19" fillId="0" borderId="0" xfId="0" applyFont="1"/>
    <xf numFmtId="0" fontId="20" fillId="0" borderId="0" xfId="0" applyFont="1"/>
    <xf numFmtId="9" fontId="20" fillId="0" borderId="0" xfId="0" applyNumberFormat="1" applyFont="1"/>
    <xf numFmtId="10" fontId="20" fillId="0" borderId="0" xfId="0" applyNumberFormat="1" applyFont="1"/>
    <xf numFmtId="2" fontId="6" fillId="0" borderId="0" xfId="0" applyNumberFormat="1" applyFont="1"/>
    <xf numFmtId="0" fontId="22" fillId="0" borderId="0" xfId="0" applyFont="1"/>
    <xf numFmtId="0" fontId="21" fillId="0" borderId="0" xfId="0" applyFont="1"/>
    <xf numFmtId="0" fontId="23" fillId="4" borderId="3" xfId="0" applyFont="1" applyFill="1" applyBorder="1" applyAlignment="1">
      <alignment horizontal="left" vertical="top" wrapText="1" readingOrder="1"/>
    </xf>
    <xf numFmtId="3" fontId="24" fillId="0" borderId="3" xfId="0" applyNumberFormat="1" applyFont="1" applyBorder="1" applyAlignment="1">
      <alignment horizontal="right" wrapText="1" readingOrder="1"/>
    </xf>
    <xf numFmtId="165" fontId="24" fillId="0" borderId="3" xfId="0" applyNumberFormat="1" applyFont="1" applyBorder="1" applyAlignment="1">
      <alignment horizontal="right" wrapText="1" readingOrder="1"/>
    </xf>
    <xf numFmtId="166" fontId="24" fillId="0" borderId="3" xfId="0" applyNumberFormat="1" applyFont="1" applyBorder="1" applyAlignment="1">
      <alignment horizontal="right" wrapText="1" readingOrder="1"/>
    </xf>
    <xf numFmtId="167" fontId="24" fillId="0" borderId="3" xfId="0" applyNumberFormat="1" applyFont="1" applyBorder="1" applyAlignment="1">
      <alignment horizontal="right" wrapText="1" readingOrder="1"/>
    </xf>
    <xf numFmtId="168" fontId="24" fillId="0" borderId="3" xfId="0" applyNumberFormat="1" applyFont="1" applyBorder="1" applyAlignment="1">
      <alignment horizontal="right" wrapText="1" readingOrder="1"/>
    </xf>
    <xf numFmtId="169" fontId="24" fillId="0" borderId="3" xfId="0" applyNumberFormat="1" applyFont="1" applyBorder="1" applyAlignment="1">
      <alignment horizontal="right" wrapText="1" readingOrder="1"/>
    </xf>
    <xf numFmtId="170" fontId="24" fillId="0" borderId="3" xfId="0" applyNumberFormat="1" applyFont="1" applyBorder="1" applyAlignment="1">
      <alignment horizontal="right" wrapText="1" readingOrder="1"/>
    </xf>
    <xf numFmtId="171" fontId="24" fillId="0" borderId="3" xfId="0" applyNumberFormat="1" applyFont="1" applyBorder="1" applyAlignment="1">
      <alignment horizontal="right" wrapText="1" readingOrder="1"/>
    </xf>
    <xf numFmtId="172" fontId="24" fillId="0" borderId="3" xfId="0" applyNumberFormat="1" applyFont="1" applyBorder="1" applyAlignment="1">
      <alignment horizontal="right" wrapText="1" readingOrder="1"/>
    </xf>
    <xf numFmtId="173" fontId="24" fillId="0" borderId="3" xfId="0" applyNumberFormat="1" applyFont="1" applyBorder="1" applyAlignment="1">
      <alignment horizontal="right" wrapText="1" readingOrder="1"/>
    </xf>
    <xf numFmtId="0" fontId="23" fillId="3" borderId="2" xfId="0" applyFont="1" applyFill="1" applyBorder="1" applyAlignment="1">
      <alignment vertical="top" wrapText="1" readingOrder="1"/>
    </xf>
    <xf numFmtId="0" fontId="23" fillId="3" borderId="4" xfId="0" applyFont="1" applyFill="1" applyBorder="1" applyAlignment="1">
      <alignment vertical="top" wrapText="1" readingOrder="1"/>
    </xf>
    <xf numFmtId="0" fontId="23" fillId="3" borderId="5" xfId="0" applyFont="1" applyFill="1" applyBorder="1" applyAlignment="1">
      <alignment vertical="top" wrapText="1" readingOrder="1"/>
    </xf>
    <xf numFmtId="4" fontId="24" fillId="0" borderId="3" xfId="0" applyNumberFormat="1" applyFont="1" applyBorder="1" applyAlignment="1">
      <alignment horizontal="right" wrapText="1" readingOrder="1"/>
    </xf>
    <xf numFmtId="174" fontId="24" fillId="0" borderId="3" xfId="0" applyNumberFormat="1" applyFont="1" applyBorder="1" applyAlignment="1">
      <alignment horizontal="right" wrapText="1" readingOrder="1"/>
    </xf>
    <xf numFmtId="175" fontId="24" fillId="0" borderId="3" xfId="0" applyNumberFormat="1" applyFont="1" applyBorder="1" applyAlignment="1">
      <alignment horizontal="right" wrapText="1" readingOrder="1"/>
    </xf>
    <xf numFmtId="176" fontId="24" fillId="0" borderId="3" xfId="0" applyNumberFormat="1" applyFont="1" applyBorder="1" applyAlignment="1">
      <alignment horizontal="right" wrapText="1" readingOrder="1"/>
    </xf>
    <xf numFmtId="177" fontId="24" fillId="0" borderId="3" xfId="0" applyNumberFormat="1" applyFont="1" applyBorder="1" applyAlignment="1">
      <alignment horizontal="right" wrapText="1" readingOrder="1"/>
    </xf>
    <xf numFmtId="178" fontId="24" fillId="0" borderId="3" xfId="0" applyNumberFormat="1" applyFont="1" applyBorder="1" applyAlignment="1">
      <alignment horizontal="right" wrapText="1" readingOrder="1"/>
    </xf>
    <xf numFmtId="179" fontId="24" fillId="0" borderId="3" xfId="0" applyNumberFormat="1" applyFont="1" applyBorder="1" applyAlignment="1">
      <alignment horizontal="right" wrapText="1" readingOrder="1"/>
    </xf>
    <xf numFmtId="180" fontId="24" fillId="0" borderId="3" xfId="0" applyNumberFormat="1" applyFont="1" applyBorder="1" applyAlignment="1">
      <alignment horizontal="right" wrapText="1" readingOrder="1"/>
    </xf>
    <xf numFmtId="181" fontId="24" fillId="0" borderId="3" xfId="0" applyNumberFormat="1" applyFont="1" applyBorder="1" applyAlignment="1">
      <alignment horizontal="right" wrapText="1" readingOrder="1"/>
    </xf>
    <xf numFmtId="182" fontId="24" fillId="0" borderId="3" xfId="0" applyNumberFormat="1" applyFont="1" applyBorder="1" applyAlignment="1">
      <alignment horizontal="right" wrapText="1" readingOrder="1"/>
    </xf>
    <xf numFmtId="183" fontId="24" fillId="0" borderId="3" xfId="0" applyNumberFormat="1" applyFont="1" applyBorder="1" applyAlignment="1">
      <alignment horizontal="right" wrapText="1" readingOrder="1"/>
    </xf>
    <xf numFmtId="184" fontId="24" fillId="0" borderId="3" xfId="0" applyNumberFormat="1" applyFont="1" applyBorder="1" applyAlignment="1">
      <alignment horizontal="right" wrapText="1" readingOrder="1"/>
    </xf>
    <xf numFmtId="0" fontId="26" fillId="5" borderId="0" xfId="0" applyFont="1" applyFill="1" applyAlignment="1">
      <alignment vertical="center" wrapText="1"/>
    </xf>
    <xf numFmtId="0" fontId="26" fillId="5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vertical="top" wrapText="1"/>
    </xf>
    <xf numFmtId="0" fontId="29" fillId="0" borderId="0" xfId="0" applyFont="1"/>
    <xf numFmtId="0" fontId="30" fillId="0" borderId="0" xfId="0" applyFont="1"/>
    <xf numFmtId="3" fontId="30" fillId="0" borderId="0" xfId="0" applyNumberFormat="1" applyFont="1"/>
    <xf numFmtId="2" fontId="0" fillId="0" borderId="0" xfId="0" applyNumberFormat="1"/>
    <xf numFmtId="185" fontId="0" fillId="0" borderId="0" xfId="3" applyNumberFormat="1" applyFont="1"/>
    <xf numFmtId="43" fontId="16" fillId="0" borderId="0" xfId="3" applyFont="1"/>
    <xf numFmtId="0" fontId="16" fillId="0" borderId="0" xfId="3" applyNumberFormat="1" applyFont="1"/>
    <xf numFmtId="0" fontId="0" fillId="0" borderId="0" xfId="3" applyNumberFormat="1" applyFont="1"/>
    <xf numFmtId="3" fontId="0" fillId="0" borderId="0" xfId="0" applyNumberFormat="1" applyAlignment="1">
      <alignment horizontal="right"/>
    </xf>
    <xf numFmtId="10" fontId="4" fillId="0" borderId="0" xfId="2" applyNumberFormat="1" applyFont="1"/>
    <xf numFmtId="3" fontId="4" fillId="0" borderId="0" xfId="0" applyNumberFormat="1" applyFont="1"/>
    <xf numFmtId="0" fontId="24" fillId="0" borderId="0" xfId="0" applyFont="1"/>
    <xf numFmtId="0" fontId="18" fillId="0" borderId="0" xfId="0" applyFont="1"/>
    <xf numFmtId="1" fontId="24" fillId="0" borderId="0" xfId="0" applyNumberFormat="1" applyFont="1"/>
    <xf numFmtId="3" fontId="32" fillId="0" borderId="0" xfId="4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32" fillId="0" borderId="0" xfId="0" applyNumberFormat="1" applyFont="1" applyAlignment="1">
      <alignment horizontal="right"/>
    </xf>
    <xf numFmtId="3" fontId="32" fillId="0" borderId="0" xfId="0" applyNumberFormat="1" applyFont="1"/>
    <xf numFmtId="0" fontId="34" fillId="0" borderId="0" xfId="5" applyFont="1"/>
    <xf numFmtId="3" fontId="32" fillId="0" borderId="0" xfId="0" applyNumberFormat="1" applyFont="1" applyAlignment="1">
      <alignment horizontal="left"/>
    </xf>
    <xf numFmtId="3" fontId="35" fillId="0" borderId="0" xfId="4" applyNumberFormat="1" applyFont="1" applyAlignment="1">
      <alignment horizontal="left" vertical="top"/>
    </xf>
    <xf numFmtId="186" fontId="0" fillId="0" borderId="0" xfId="0" applyNumberFormat="1"/>
    <xf numFmtId="186" fontId="0" fillId="0" borderId="0" xfId="0" applyNumberFormat="1" applyAlignment="1">
      <alignment horizontal="right"/>
    </xf>
    <xf numFmtId="186" fontId="32" fillId="0" borderId="0" xfId="0" applyNumberFormat="1" applyFont="1"/>
    <xf numFmtId="1" fontId="32" fillId="0" borderId="0" xfId="0" quotePrefix="1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36" fillId="0" borderId="0" xfId="0" applyFont="1"/>
    <xf numFmtId="0" fontId="31" fillId="0" borderId="0" xfId="0" applyFont="1"/>
    <xf numFmtId="164" fontId="31" fillId="0" borderId="0" xfId="2" applyNumberFormat="1" applyFont="1"/>
    <xf numFmtId="6" fontId="0" fillId="0" borderId="0" xfId="0" applyNumberFormat="1"/>
    <xf numFmtId="9" fontId="0" fillId="0" borderId="0" xfId="0" applyNumberFormat="1"/>
    <xf numFmtId="186" fontId="4" fillId="0" borderId="0" xfId="0" applyNumberFormat="1" applyFont="1"/>
    <xf numFmtId="10" fontId="4" fillId="0" borderId="0" xfId="0" applyNumberFormat="1" applyFont="1"/>
    <xf numFmtId="0" fontId="37" fillId="0" borderId="0" xfId="0" applyFont="1"/>
    <xf numFmtId="0" fontId="38" fillId="0" borderId="0" xfId="0" applyFont="1"/>
    <xf numFmtId="0" fontId="0" fillId="0" borderId="0" xfId="2" applyNumberFormat="1" applyFont="1" applyAlignment="1">
      <alignment horizontal="left"/>
    </xf>
    <xf numFmtId="0" fontId="0" fillId="6" borderId="0" xfId="0" applyFill="1"/>
    <xf numFmtId="10" fontId="0" fillId="6" borderId="0" xfId="2" applyNumberFormat="1" applyFont="1" applyFill="1"/>
    <xf numFmtId="0" fontId="5" fillId="0" borderId="0" xfId="0" applyFont="1" applyAlignment="1">
      <alignment vertical="center" wrapText="1"/>
    </xf>
    <xf numFmtId="3" fontId="39" fillId="0" borderId="0" xfId="6" applyNumberFormat="1" applyFont="1" applyAlignment="1">
      <alignment horizontal="right"/>
    </xf>
    <xf numFmtId="186" fontId="34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86" fontId="24" fillId="0" borderId="0" xfId="6" applyNumberFormat="1" applyFont="1"/>
    <xf numFmtId="3" fontId="24" fillId="0" borderId="0" xfId="6" applyNumberFormat="1" applyFont="1"/>
    <xf numFmtId="3" fontId="24" fillId="0" borderId="0" xfId="6" applyNumberFormat="1" applyFont="1" applyAlignment="1">
      <alignment horizontal="right"/>
    </xf>
    <xf numFmtId="3" fontId="24" fillId="0" borderId="0" xfId="0" applyNumberFormat="1" applyFont="1"/>
    <xf numFmtId="186" fontId="24" fillId="0" borderId="0" xfId="6" applyNumberFormat="1" applyFont="1" applyAlignment="1">
      <alignment horizontal="right"/>
    </xf>
    <xf numFmtId="187" fontId="24" fillId="0" borderId="0" xfId="0" applyNumberFormat="1" applyFont="1" applyAlignment="1">
      <alignment horizontal="right"/>
    </xf>
    <xf numFmtId="0" fontId="42" fillId="0" borderId="0" xfId="0" applyFont="1"/>
    <xf numFmtId="3" fontId="42" fillId="0" borderId="0" xfId="0" applyNumberFormat="1" applyFont="1"/>
    <xf numFmtId="0" fontId="41" fillId="0" borderId="0" xfId="0" applyFont="1"/>
    <xf numFmtId="10" fontId="14" fillId="0" borderId="0" xfId="0" applyNumberFormat="1" applyFont="1"/>
    <xf numFmtId="9" fontId="14" fillId="0" borderId="0" xfId="0" applyNumberFormat="1" applyFont="1"/>
    <xf numFmtId="0" fontId="43" fillId="0" borderId="0" xfId="0" applyFont="1"/>
    <xf numFmtId="164" fontId="14" fillId="0" borderId="0" xfId="2" applyNumberFormat="1" applyFont="1"/>
    <xf numFmtId="0" fontId="44" fillId="0" borderId="0" xfId="0" applyFont="1"/>
    <xf numFmtId="10" fontId="40" fillId="0" borderId="0" xfId="0" applyNumberFormat="1" applyFont="1"/>
    <xf numFmtId="185" fontId="0" fillId="0" borderId="0" xfId="0" applyNumberFormat="1"/>
    <xf numFmtId="10" fontId="3" fillId="0" borderId="0" xfId="2" applyNumberFormat="1" applyFont="1"/>
    <xf numFmtId="186" fontId="14" fillId="0" borderId="0" xfId="0" applyNumberFormat="1" applyFont="1"/>
    <xf numFmtId="10" fontId="31" fillId="0" borderId="0" xfId="2" applyNumberFormat="1" applyFont="1"/>
    <xf numFmtId="188" fontId="0" fillId="0" borderId="0" xfId="0" applyNumberFormat="1"/>
    <xf numFmtId="1" fontId="6" fillId="0" borderId="0" xfId="0" applyNumberFormat="1" applyFont="1"/>
    <xf numFmtId="0" fontId="45" fillId="0" borderId="0" xfId="0" applyFont="1"/>
    <xf numFmtId="10" fontId="0" fillId="0" borderId="0" xfId="2" applyNumberFormat="1" applyFont="1" applyFill="1"/>
  </cellXfs>
  <cellStyles count="8">
    <cellStyle name="Comma" xfId="3" builtinId="3"/>
    <cellStyle name="Hyperlink" xfId="1" builtinId="8"/>
    <cellStyle name="Normal" xfId="0" builtinId="0"/>
    <cellStyle name="Normal 8" xfId="7" xr:uid="{C1AE6479-BACF-E741-A8C8-6615553F70D1}"/>
    <cellStyle name="Normal_18 TABLE_Academic Level - Selected Years_FINAL" xfId="6" xr:uid="{DD99A5BF-BBF0-7A47-B7D6-2CB54CFB95F7}"/>
    <cellStyle name="Normal_41 TABLE_Scholars Major Field of Specialization_FINAL" xfId="5" xr:uid="{C3BF0405-0CBB-3744-BC28-C11326DA6668}"/>
    <cellStyle name="Normal_Sheet1" xfId="4" xr:uid="{966174E0-B459-144C-AF81-FD6BFEDDCFBC}"/>
    <cellStyle name="Percent" xfId="2" builtinId="5"/>
  </cellStyles>
  <dxfs count="0"/>
  <tableStyles count="0" defaultTableStyle="TableStyleMedium9" defaultPivotStyle="PivotStyleLight16"/>
  <colors>
    <mruColors>
      <color rgb="FFF79745"/>
      <color rgb="FFFEED00"/>
      <color rgb="FF4E81BE"/>
      <color rgb="FFFBF803"/>
      <color rgb="FF9BBB59"/>
      <color rgb="FF795C9D"/>
      <color rgb="FF4BACC6"/>
      <color rgb="FFBD4844"/>
      <color rgb="FFC0504D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10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fig_011!$C$1</c:f>
              <c:strCache>
                <c:ptCount val="1"/>
                <c:pt idx="0">
                  <c:v>STEM Enrollments</c:v>
                </c:pt>
              </c:strCache>
            </c:strRef>
          </c:tx>
          <c:spPr>
            <a:solidFill>
              <a:schemeClr val="accent1">
                <a:alpha val="35086"/>
              </a:schemeClr>
            </a:solidFill>
            <a:ln>
              <a:noFill/>
            </a:ln>
            <a:effectLst/>
          </c:spPr>
          <c:invertIfNegative val="0"/>
          <c:cat>
            <c:numRef>
              <c:f>fig_011!$A$2:$A$28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fig_011!$C$2:$C$28</c:f>
              <c:numCache>
                <c:formatCode>#,##0</c:formatCode>
                <c:ptCount val="27"/>
                <c:pt idx="0">
                  <c:v>158305</c:v>
                </c:pt>
                <c:pt idx="1">
                  <c:v>171520</c:v>
                </c:pt>
                <c:pt idx="2">
                  <c:v>189617</c:v>
                </c:pt>
                <c:pt idx="3">
                  <c:v>206411</c:v>
                </c:pt>
                <c:pt idx="4">
                  <c:v>212049</c:v>
                </c:pt>
                <c:pt idx="5">
                  <c:v>207525</c:v>
                </c:pt>
                <c:pt idx="6">
                  <c:v>193216</c:v>
                </c:pt>
                <c:pt idx="7">
                  <c:v>184349</c:v>
                </c:pt>
                <c:pt idx="8">
                  <c:v>187061</c:v>
                </c:pt>
                <c:pt idx="9">
                  <c:v>195369</c:v>
                </c:pt>
                <c:pt idx="10">
                  <c:v>237404</c:v>
                </c:pt>
                <c:pt idx="11">
                  <c:v>249555</c:v>
                </c:pt>
                <c:pt idx="12">
                  <c:v>263675</c:v>
                </c:pt>
                <c:pt idx="13">
                  <c:v>278684</c:v>
                </c:pt>
                <c:pt idx="14">
                  <c:v>300951</c:v>
                </c:pt>
                <c:pt idx="15">
                  <c:v>332102</c:v>
                </c:pt>
                <c:pt idx="16">
                  <c:v>383538</c:v>
                </c:pt>
                <c:pt idx="17">
                  <c:v>433968</c:v>
                </c:pt>
                <c:pt idx="18">
                  <c:v>474729</c:v>
                </c:pt>
                <c:pt idx="19">
                  <c:v>497413</c:v>
                </c:pt>
                <c:pt idx="20">
                  <c:v>515821</c:v>
                </c:pt>
                <c:pt idx="21">
                  <c:v>507720</c:v>
                </c:pt>
                <c:pt idx="22" formatCode="General">
                  <c:v>447725</c:v>
                </c:pt>
                <c:pt idx="23" formatCode="General">
                  <c:v>467207</c:v>
                </c:pt>
                <c:pt idx="24" formatCode="General">
                  <c:v>527861</c:v>
                </c:pt>
                <c:pt idx="25" formatCode="General">
                  <c:v>579802</c:v>
                </c:pt>
                <c:pt idx="26" formatCode="General">
                  <c:v>618060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D-0C43-8FCC-EE5F8F6CE56D}"/>
            </c:ext>
          </c:extLst>
        </c:ser>
        <c:ser>
          <c:idx val="1"/>
          <c:order val="2"/>
          <c:tx>
            <c:strRef>
              <c:f>fig_011!$D$1</c:f>
              <c:strCache>
                <c:ptCount val="1"/>
                <c:pt idx="0">
                  <c:v>Social Science Enrollments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fig_011!$A$2:$A$28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fig_011!$D$2:$D$28</c:f>
              <c:numCache>
                <c:formatCode>#,##0</c:formatCode>
                <c:ptCount val="27"/>
                <c:pt idx="0">
                  <c:v>37255</c:v>
                </c:pt>
                <c:pt idx="1">
                  <c:v>38629</c:v>
                </c:pt>
                <c:pt idx="2">
                  <c:v>38940</c:v>
                </c:pt>
                <c:pt idx="3">
                  <c:v>41241</c:v>
                </c:pt>
                <c:pt idx="4">
                  <c:v>42415</c:v>
                </c:pt>
                <c:pt idx="5">
                  <c:v>50464</c:v>
                </c:pt>
                <c:pt idx="6">
                  <c:v>42263</c:v>
                </c:pt>
                <c:pt idx="7">
                  <c:v>42235</c:v>
                </c:pt>
                <c:pt idx="8">
                  <c:v>44983</c:v>
                </c:pt>
                <c:pt idx="9">
                  <c:v>45535</c:v>
                </c:pt>
                <c:pt idx="10">
                  <c:v>52631</c:v>
                </c:pt>
                <c:pt idx="11">
                  <c:v>54853</c:v>
                </c:pt>
                <c:pt idx="12">
                  <c:v>58345</c:v>
                </c:pt>
                <c:pt idx="13">
                  <c:v>60974</c:v>
                </c:pt>
                <c:pt idx="14">
                  <c:v>67786</c:v>
                </c:pt>
                <c:pt idx="15">
                  <c:v>72390</c:v>
                </c:pt>
                <c:pt idx="16">
                  <c:v>75951</c:v>
                </c:pt>
                <c:pt idx="17">
                  <c:v>81304</c:v>
                </c:pt>
                <c:pt idx="18">
                  <c:v>83046</c:v>
                </c:pt>
                <c:pt idx="19">
                  <c:v>83708</c:v>
                </c:pt>
                <c:pt idx="20">
                  <c:v>84320</c:v>
                </c:pt>
                <c:pt idx="21">
                  <c:v>84440</c:v>
                </c:pt>
                <c:pt idx="22">
                  <c:v>76419</c:v>
                </c:pt>
                <c:pt idx="23">
                  <c:v>78770</c:v>
                </c:pt>
                <c:pt idx="24">
                  <c:v>85998</c:v>
                </c:pt>
                <c:pt idx="25">
                  <c:v>84307</c:v>
                </c:pt>
                <c:pt idx="26">
                  <c:v>86008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97-204A-B794-5AE6D5497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62269440"/>
        <c:axId val="1298903744"/>
      </c:barChart>
      <c:lineChart>
        <c:grouping val="standard"/>
        <c:varyColors val="0"/>
        <c:ser>
          <c:idx val="0"/>
          <c:order val="1"/>
          <c:tx>
            <c:strRef>
              <c:f>fig_011!$E$1</c:f>
              <c:strCache>
                <c:ptCount val="1"/>
                <c:pt idx="0">
                  <c:v>STEM Share of Total International Enrollment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fig_011!$A$2:$A$28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fig_011!$E$2:$E$28</c:f>
              <c:numCache>
                <c:formatCode>0.00%</c:formatCode>
                <c:ptCount val="27"/>
                <c:pt idx="0">
                  <c:v>0.32245744327637377</c:v>
                </c:pt>
                <c:pt idx="1">
                  <c:v>0.33322777493914202</c:v>
                </c:pt>
                <c:pt idx="2">
                  <c:v>0.34610042218275605</c:v>
                </c:pt>
                <c:pt idx="3">
                  <c:v>0.35405217188454124</c:v>
                </c:pt>
                <c:pt idx="4">
                  <c:v>0.36165901729933841</c:v>
                </c:pt>
                <c:pt idx="5">
                  <c:v>0.36248338454067969</c:v>
                </c:pt>
                <c:pt idx="6">
                  <c:v>0.34195161749896907</c:v>
                </c:pt>
                <c:pt idx="7">
                  <c:v>0.32641660439899001</c:v>
                </c:pt>
                <c:pt idx="8">
                  <c:v>0.32086815418604969</c:v>
                </c:pt>
                <c:pt idx="9">
                  <c:v>0.31318921778440378</c:v>
                </c:pt>
                <c:pt idx="10">
                  <c:v>0.35348175147703448</c:v>
                </c:pt>
                <c:pt idx="11">
                  <c:v>0.36119075497559061</c:v>
                </c:pt>
                <c:pt idx="12">
                  <c:v>0.36455604146129356</c:v>
                </c:pt>
                <c:pt idx="13">
                  <c:v>0.36453345018607053</c:v>
                </c:pt>
                <c:pt idx="14">
                  <c:v>0.36717282137122947</c:v>
                </c:pt>
                <c:pt idx="15">
                  <c:v>0.37481095917621088</c:v>
                </c:pt>
                <c:pt idx="16">
                  <c:v>0.39340216590797661</c:v>
                </c:pt>
                <c:pt idx="17">
                  <c:v>0.4157422744312102</c:v>
                </c:pt>
                <c:pt idx="18">
                  <c:v>0.44004386265760248</c:v>
                </c:pt>
                <c:pt idx="19">
                  <c:v>0.45434475224517534</c:v>
                </c:pt>
                <c:pt idx="20">
                  <c:v>0.47094081159573781</c:v>
                </c:pt>
                <c:pt idx="21">
                  <c:v>0.47207985896739735</c:v>
                </c:pt>
                <c:pt idx="22">
                  <c:v>0.48980138825833203</c:v>
                </c:pt>
                <c:pt idx="23">
                  <c:v>0.49256472458643424</c:v>
                </c:pt>
                <c:pt idx="24">
                  <c:v>0.49930665122948803</c:v>
                </c:pt>
                <c:pt idx="25">
                  <c:v>0.51460650223220228</c:v>
                </c:pt>
                <c:pt idx="26">
                  <c:v>0.52477317226002451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D-0C43-8FCC-EE5F8F6CE56D}"/>
            </c:ext>
          </c:extLst>
        </c:ser>
        <c:ser>
          <c:idx val="3"/>
          <c:order val="3"/>
          <c:tx>
            <c:strRef>
              <c:f>fig_011!$F$1</c:f>
              <c:strCache>
                <c:ptCount val="1"/>
                <c:pt idx="0">
                  <c:v>STEM and Social Science Share of Total International Enrollment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fig_011!$A$2:$A$28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fig_011!$F$2:$F$28</c:f>
              <c:numCache>
                <c:formatCode>0.00%</c:formatCode>
                <c:ptCount val="27"/>
                <c:pt idx="0">
                  <c:v>0.39834356215613942</c:v>
                </c:pt>
                <c:pt idx="1">
                  <c:v>0.40827590762410071</c:v>
                </c:pt>
                <c:pt idx="2">
                  <c:v>0.41717606645408467</c:v>
                </c:pt>
                <c:pt idx="3">
                  <c:v>0.42479193682289418</c:v>
                </c:pt>
                <c:pt idx="4">
                  <c:v>0.43399968959089102</c:v>
                </c:pt>
                <c:pt idx="5">
                  <c:v>0.45062872374058749</c:v>
                </c:pt>
                <c:pt idx="6">
                  <c:v>0.41674822445884269</c:v>
                </c:pt>
                <c:pt idx="7">
                  <c:v>0.40119978893913588</c:v>
                </c:pt>
                <c:pt idx="8">
                  <c:v>0.39802807624222963</c:v>
                </c:pt>
                <c:pt idx="9">
                  <c:v>0.38618478530951178</c:v>
                </c:pt>
                <c:pt idx="10">
                  <c:v>0.43184647179340574</c:v>
                </c:pt>
                <c:pt idx="11">
                  <c:v>0.44058165671138461</c:v>
                </c:pt>
                <c:pt idx="12">
                  <c:v>0.44522361418930784</c:v>
                </c:pt>
                <c:pt idx="13">
                  <c:v>0.44429067554398655</c:v>
                </c:pt>
                <c:pt idx="14">
                  <c:v>0.44987457969557515</c:v>
                </c:pt>
                <c:pt idx="15">
                  <c:v>0.45651045311110411</c:v>
                </c:pt>
                <c:pt idx="16">
                  <c:v>0.47130654018869123</c:v>
                </c:pt>
                <c:pt idx="17">
                  <c:v>0.49363168074770153</c:v>
                </c:pt>
                <c:pt idx="18">
                  <c:v>0.51702227058773365</c:v>
                </c:pt>
                <c:pt idx="19">
                  <c:v>0.5308049382896477</c:v>
                </c:pt>
                <c:pt idx="20">
                  <c:v>0.54792435672816286</c:v>
                </c:pt>
                <c:pt idx="21">
                  <c:v>0.55059247082276452</c:v>
                </c:pt>
                <c:pt idx="22">
                  <c:v>0.57340210809598569</c:v>
                </c:pt>
                <c:pt idx="23">
                  <c:v>0.57560997723819973</c:v>
                </c:pt>
                <c:pt idx="24">
                  <c:v>0.58065263699550129</c:v>
                </c:pt>
                <c:pt idx="25">
                  <c:v>0.58943365078238019</c:v>
                </c:pt>
                <c:pt idx="26">
                  <c:v>0.59779956290128944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7-204A-B794-5AE6D5497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87327"/>
        <c:axId val="798573887"/>
      </c:lineChart>
      <c:catAx>
        <c:axId val="13622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03744"/>
        <c:crosses val="autoZero"/>
        <c:auto val="1"/>
        <c:lblAlgn val="ctr"/>
        <c:lblOffset val="100"/>
        <c:noMultiLvlLbl val="0"/>
      </c:catAx>
      <c:valAx>
        <c:axId val="1298903744"/>
        <c:scaling>
          <c:orientation val="minMax"/>
          <c:max val="800000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International Students Enrolled</a:t>
                </a:r>
                <a:r>
                  <a:rPr lang="en-US" baseline="0"/>
                  <a:t> in STEM Degree Programs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269440"/>
        <c:crosses val="autoZero"/>
        <c:crossBetween val="between"/>
      </c:valAx>
      <c:valAx>
        <c:axId val="798573887"/>
        <c:scaling>
          <c:orientation val="minMax"/>
          <c:max val="0.6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STEM and Social Science Enrollments out of Total International Enrollment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587327"/>
        <c:crosses val="max"/>
        <c:crossBetween val="between"/>
      </c:valAx>
      <c:catAx>
        <c:axId val="7985873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85738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2"/>
          <c:order val="0"/>
          <c:tx>
            <c:strRef>
              <c:f>fig_012!$B$1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rgbClr val="C00000">
                <a:alpha val="67002"/>
              </a:srgb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2.3681345387382133E-2"/>
                  <c:y val="-6.667377515310586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0A4C-A742-9107-D39F88C297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4C-A742-9107-D39F88C297F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4C-A742-9107-D39F88C297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4C-A742-9107-D39F88C297F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4C-A742-9107-D39F88C297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4C-A742-9107-D39F88C297F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4C-A742-9107-D39F88C297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4C-A742-9107-D39F88C297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A4C-A742-9107-D39F88C297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A4C-A742-9107-D39F88C297F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A4C-A742-9107-D39F88C297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A4C-A742-9107-D39F88C297F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A4C-A742-9107-D39F88C297F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A4C-A742-9107-D39F88C297F9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A4C-A742-9107-D39F88C297F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A4C-A742-9107-D39F88C297F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A4C-A742-9107-D39F88C297F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A4C-A742-9107-D39F88C297F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A4C-A742-9107-D39F88C297F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A4C-A742-9107-D39F88C297F9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A4C-A742-9107-D39F88C297F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A4C-A742-9107-D39F88C297F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A4C-A742-9107-D39F88C297F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A4C-A742-9107-D39F88C297F9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A4C-A742-9107-D39F88C297F9}"/>
                </c:ext>
              </c:extLst>
            </c:dLbl>
            <c:dLbl>
              <c:idx val="25"/>
              <c:layout>
                <c:manualLayout>
                  <c:x val="-2.4601298675955469E-2"/>
                  <c:y val="-0.18235403171760245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71%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0A4C-A742-9107-D39F88C297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fig_012!$B$2:$B$27</c:f>
              <c:numCache>
                <c:formatCode>General</c:formatCode>
                <c:ptCount val="26"/>
                <c:pt idx="0">
                  <c:v>280149</c:v>
                </c:pt>
                <c:pt idx="1">
                  <c:v>302058</c:v>
                </c:pt>
                <c:pt idx="2">
                  <c:v>324812</c:v>
                </c:pt>
                <c:pt idx="3">
                  <c:v>332298</c:v>
                </c:pt>
                <c:pt idx="4">
                  <c:v>324006</c:v>
                </c:pt>
                <c:pt idx="5">
                  <c:v>325112</c:v>
                </c:pt>
                <c:pt idx="6">
                  <c:v>327785</c:v>
                </c:pt>
                <c:pt idx="7">
                  <c:v>344495</c:v>
                </c:pt>
                <c:pt idx="8">
                  <c:v>380465</c:v>
                </c:pt>
                <c:pt idx="9">
                  <c:v>415000</c:v>
                </c:pt>
                <c:pt idx="10">
                  <c:v>435667</c:v>
                </c:pt>
                <c:pt idx="11">
                  <c:v>461818</c:v>
                </c:pt>
                <c:pt idx="12">
                  <c:v>489970</c:v>
                </c:pt>
                <c:pt idx="13">
                  <c:v>525849</c:v>
                </c:pt>
                <c:pt idx="14">
                  <c:v>568510</c:v>
                </c:pt>
                <c:pt idx="15">
                  <c:v>627306</c:v>
                </c:pt>
                <c:pt idx="16">
                  <c:v>689525</c:v>
                </c:pt>
                <c:pt idx="17">
                  <c:v>734309</c:v>
                </c:pt>
                <c:pt idx="18">
                  <c:v>758076</c:v>
                </c:pt>
                <c:pt idx="19">
                  <c:v>768260</c:v>
                </c:pt>
                <c:pt idx="20">
                  <c:v>758014</c:v>
                </c:pt>
                <c:pt idx="21">
                  <c:v>645622</c:v>
                </c:pt>
                <c:pt idx="22">
                  <c:v>658669</c:v>
                </c:pt>
                <c:pt idx="23">
                  <c:v>748165</c:v>
                </c:pt>
                <c:pt idx="24">
                  <c:v>805238</c:v>
                </c:pt>
                <c:pt idx="25">
                  <c:v>842885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A4C-A742-9107-D39F88C297F9}"/>
            </c:ext>
          </c:extLst>
        </c:ser>
        <c:ser>
          <c:idx val="3"/>
          <c:order val="1"/>
          <c:tx>
            <c:strRef>
              <c:f>fig_012!$C$1</c:f>
              <c:strCache>
                <c:ptCount val="1"/>
                <c:pt idx="0">
                  <c:v>Africa, Sub-saharan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fig_012!$C$2:$C$27</c:f>
              <c:numCache>
                <c:formatCode>General</c:formatCode>
                <c:ptCount val="26"/>
                <c:pt idx="0">
                  <c:v>26124</c:v>
                </c:pt>
                <c:pt idx="1">
                  <c:v>29399</c:v>
                </c:pt>
                <c:pt idx="2">
                  <c:v>32509</c:v>
                </c:pt>
                <c:pt idx="3">
                  <c:v>35406</c:v>
                </c:pt>
                <c:pt idx="4">
                  <c:v>33942</c:v>
                </c:pt>
                <c:pt idx="5">
                  <c:v>32492</c:v>
                </c:pt>
                <c:pt idx="6">
                  <c:v>32847</c:v>
                </c:pt>
                <c:pt idx="7">
                  <c:v>32423</c:v>
                </c:pt>
                <c:pt idx="8">
                  <c:v>32020</c:v>
                </c:pt>
                <c:pt idx="9">
                  <c:v>32708</c:v>
                </c:pt>
                <c:pt idx="10">
                  <c:v>32121</c:v>
                </c:pt>
                <c:pt idx="11">
                  <c:v>31470</c:v>
                </c:pt>
                <c:pt idx="12">
                  <c:v>30046</c:v>
                </c:pt>
                <c:pt idx="13">
                  <c:v>30585</c:v>
                </c:pt>
                <c:pt idx="14">
                  <c:v>31113</c:v>
                </c:pt>
                <c:pt idx="15">
                  <c:v>33593</c:v>
                </c:pt>
                <c:pt idx="16">
                  <c:v>35364</c:v>
                </c:pt>
                <c:pt idx="17">
                  <c:v>37735</c:v>
                </c:pt>
                <c:pt idx="18">
                  <c:v>39479</c:v>
                </c:pt>
                <c:pt idx="19">
                  <c:v>40290</c:v>
                </c:pt>
                <c:pt idx="20">
                  <c:v>41697</c:v>
                </c:pt>
                <c:pt idx="21">
                  <c:v>39061</c:v>
                </c:pt>
                <c:pt idx="22">
                  <c:v>42518</c:v>
                </c:pt>
                <c:pt idx="23">
                  <c:v>50199</c:v>
                </c:pt>
                <c:pt idx="24">
                  <c:v>56780</c:v>
                </c:pt>
                <c:pt idx="25">
                  <c:v>65385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A4C-A742-9107-D39F88C297F9}"/>
            </c:ext>
          </c:extLst>
        </c:ser>
        <c:ser>
          <c:idx val="4"/>
          <c:order val="2"/>
          <c:tx>
            <c:strRef>
              <c:f>fig_012!$D$1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fig_012!$D$2:$D$27</c:f>
              <c:numCache>
                <c:formatCode>General</c:formatCode>
                <c:ptCount val="26"/>
                <c:pt idx="0">
                  <c:v>90661</c:v>
                </c:pt>
                <c:pt idx="1">
                  <c:v>93784</c:v>
                </c:pt>
                <c:pt idx="2">
                  <c:v>95697</c:v>
                </c:pt>
                <c:pt idx="3">
                  <c:v>91436</c:v>
                </c:pt>
                <c:pt idx="4">
                  <c:v>87094</c:v>
                </c:pt>
                <c:pt idx="5">
                  <c:v>85409</c:v>
                </c:pt>
                <c:pt idx="6">
                  <c:v>84697</c:v>
                </c:pt>
                <c:pt idx="7">
                  <c:v>82731</c:v>
                </c:pt>
                <c:pt idx="8">
                  <c:v>83981</c:v>
                </c:pt>
                <c:pt idx="9">
                  <c:v>87318</c:v>
                </c:pt>
                <c:pt idx="10">
                  <c:v>85084</c:v>
                </c:pt>
                <c:pt idx="11">
                  <c:v>84296</c:v>
                </c:pt>
                <c:pt idx="12">
                  <c:v>85423</c:v>
                </c:pt>
                <c:pt idx="13">
                  <c:v>85823</c:v>
                </c:pt>
                <c:pt idx="14">
                  <c:v>86885</c:v>
                </c:pt>
                <c:pt idx="15">
                  <c:v>90625</c:v>
                </c:pt>
                <c:pt idx="16">
                  <c:v>91915</c:v>
                </c:pt>
                <c:pt idx="17">
                  <c:v>92820</c:v>
                </c:pt>
                <c:pt idx="18">
                  <c:v>92655</c:v>
                </c:pt>
                <c:pt idx="19">
                  <c:v>90996</c:v>
                </c:pt>
                <c:pt idx="20">
                  <c:v>89784</c:v>
                </c:pt>
                <c:pt idx="21">
                  <c:v>67979</c:v>
                </c:pt>
                <c:pt idx="22">
                  <c:v>83240</c:v>
                </c:pt>
                <c:pt idx="23">
                  <c:v>89906</c:v>
                </c:pt>
                <c:pt idx="24">
                  <c:v>90600</c:v>
                </c:pt>
                <c:pt idx="25">
                  <c:v>93361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A4C-A742-9107-D39F88C297F9}"/>
            </c:ext>
          </c:extLst>
        </c:ser>
        <c:ser>
          <c:idx val="5"/>
          <c:order val="3"/>
          <c:tx>
            <c:strRef>
              <c:f>fig_012!$E$1</c:f>
              <c:strCache>
                <c:ptCount val="1"/>
                <c:pt idx="0">
                  <c:v>Latin America and Carribian 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fig_012!$E$2:$E$27</c:f>
              <c:numCache>
                <c:formatCode>General</c:formatCode>
                <c:ptCount val="26"/>
                <c:pt idx="0">
                  <c:v>62681</c:v>
                </c:pt>
                <c:pt idx="1">
                  <c:v>64243</c:v>
                </c:pt>
                <c:pt idx="2">
                  <c:v>68883</c:v>
                </c:pt>
                <c:pt idx="3">
                  <c:v>69664</c:v>
                </c:pt>
                <c:pt idx="4">
                  <c:v>70291</c:v>
                </c:pt>
                <c:pt idx="5">
                  <c:v>66581</c:v>
                </c:pt>
                <c:pt idx="6">
                  <c:v>65266</c:v>
                </c:pt>
                <c:pt idx="7">
                  <c:v>65055</c:v>
                </c:pt>
                <c:pt idx="8">
                  <c:v>64894</c:v>
                </c:pt>
                <c:pt idx="9">
                  <c:v>68141</c:v>
                </c:pt>
                <c:pt idx="10">
                  <c:v>66061</c:v>
                </c:pt>
                <c:pt idx="11">
                  <c:v>64564</c:v>
                </c:pt>
                <c:pt idx="12">
                  <c:v>64410</c:v>
                </c:pt>
                <c:pt idx="13">
                  <c:v>66864</c:v>
                </c:pt>
                <c:pt idx="14">
                  <c:v>72318</c:v>
                </c:pt>
                <c:pt idx="15">
                  <c:v>86378</c:v>
                </c:pt>
                <c:pt idx="16">
                  <c:v>84908</c:v>
                </c:pt>
                <c:pt idx="17">
                  <c:v>79655</c:v>
                </c:pt>
                <c:pt idx="18">
                  <c:v>79920</c:v>
                </c:pt>
                <c:pt idx="19">
                  <c:v>80962</c:v>
                </c:pt>
                <c:pt idx="20">
                  <c:v>80204</c:v>
                </c:pt>
                <c:pt idx="21">
                  <c:v>72850</c:v>
                </c:pt>
                <c:pt idx="22">
                  <c:v>77969</c:v>
                </c:pt>
                <c:pt idx="23">
                  <c:v>81945</c:v>
                </c:pt>
                <c:pt idx="24">
                  <c:v>85891</c:v>
                </c:pt>
                <c:pt idx="25">
                  <c:v>87932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A4C-A742-9107-D39F88C297F9}"/>
            </c:ext>
          </c:extLst>
        </c:ser>
        <c:ser>
          <c:idx val="6"/>
          <c:order val="4"/>
          <c:tx>
            <c:strRef>
              <c:f>fig_012!$F$1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fig_012!$F$2:$F$27</c:f>
              <c:numCache>
                <c:formatCode>General</c:formatCode>
                <c:ptCount val="26"/>
                <c:pt idx="0">
                  <c:v>23544</c:v>
                </c:pt>
                <c:pt idx="1">
                  <c:v>25279</c:v>
                </c:pt>
                <c:pt idx="2">
                  <c:v>26514</c:v>
                </c:pt>
                <c:pt idx="3">
                  <c:v>26513</c:v>
                </c:pt>
                <c:pt idx="4">
                  <c:v>27017</c:v>
                </c:pt>
                <c:pt idx="5">
                  <c:v>28140</c:v>
                </c:pt>
                <c:pt idx="6">
                  <c:v>28202</c:v>
                </c:pt>
                <c:pt idx="7">
                  <c:v>28280</c:v>
                </c:pt>
                <c:pt idx="8">
                  <c:v>29051</c:v>
                </c:pt>
                <c:pt idx="9">
                  <c:v>29697</c:v>
                </c:pt>
                <c:pt idx="10">
                  <c:v>28145</c:v>
                </c:pt>
                <c:pt idx="11">
                  <c:v>27546</c:v>
                </c:pt>
                <c:pt idx="12">
                  <c:v>26821</c:v>
                </c:pt>
                <c:pt idx="13">
                  <c:v>27357</c:v>
                </c:pt>
                <c:pt idx="14">
                  <c:v>28304</c:v>
                </c:pt>
                <c:pt idx="15">
                  <c:v>27240</c:v>
                </c:pt>
                <c:pt idx="16">
                  <c:v>26973</c:v>
                </c:pt>
                <c:pt idx="17">
                  <c:v>27065</c:v>
                </c:pt>
                <c:pt idx="18">
                  <c:v>25909</c:v>
                </c:pt>
                <c:pt idx="19">
                  <c:v>26122</c:v>
                </c:pt>
                <c:pt idx="20">
                  <c:v>25992</c:v>
                </c:pt>
                <c:pt idx="21">
                  <c:v>25143</c:v>
                </c:pt>
                <c:pt idx="22">
                  <c:v>27013</c:v>
                </c:pt>
                <c:pt idx="23">
                  <c:v>27876</c:v>
                </c:pt>
                <c:pt idx="24">
                  <c:v>28998</c:v>
                </c:pt>
                <c:pt idx="25">
                  <c:v>29903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A4C-A742-9107-D39F88C297F9}"/>
            </c:ext>
          </c:extLst>
        </c:ser>
        <c:ser>
          <c:idx val="7"/>
          <c:order val="5"/>
          <c:tx>
            <c:strRef>
              <c:f>fig_012!$G$1</c:f>
              <c:strCache>
                <c:ptCount val="1"/>
                <c:pt idx="0">
                  <c:v>Oceania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fig_012!$G$2:$G$27</c:f>
              <c:numCache>
                <c:formatCode>General</c:formatCode>
                <c:ptCount val="26"/>
                <c:pt idx="0">
                  <c:v>4677</c:v>
                </c:pt>
                <c:pt idx="1">
                  <c:v>4624</c:v>
                </c:pt>
                <c:pt idx="2">
                  <c:v>4852</c:v>
                </c:pt>
                <c:pt idx="3">
                  <c:v>4811</c:v>
                </c:pt>
                <c:pt idx="4">
                  <c:v>4534</c:v>
                </c:pt>
                <c:pt idx="5">
                  <c:v>4481</c:v>
                </c:pt>
                <c:pt idx="6">
                  <c:v>4702</c:v>
                </c:pt>
                <c:pt idx="7">
                  <c:v>4300</c:v>
                </c:pt>
                <c:pt idx="8">
                  <c:v>5005</c:v>
                </c:pt>
                <c:pt idx="9">
                  <c:v>5053</c:v>
                </c:pt>
                <c:pt idx="10">
                  <c:v>5107</c:v>
                </c:pt>
                <c:pt idx="11">
                  <c:v>5610</c:v>
                </c:pt>
                <c:pt idx="12">
                  <c:v>5697</c:v>
                </c:pt>
                <c:pt idx="13">
                  <c:v>6104</c:v>
                </c:pt>
                <c:pt idx="14">
                  <c:v>6292</c:v>
                </c:pt>
                <c:pt idx="15">
                  <c:v>6471</c:v>
                </c:pt>
                <c:pt idx="16">
                  <c:v>6917</c:v>
                </c:pt>
                <c:pt idx="17">
                  <c:v>7222</c:v>
                </c:pt>
                <c:pt idx="18">
                  <c:v>7372</c:v>
                </c:pt>
                <c:pt idx="19">
                  <c:v>7542</c:v>
                </c:pt>
                <c:pt idx="20">
                  <c:v>7473</c:v>
                </c:pt>
                <c:pt idx="21">
                  <c:v>5864</c:v>
                </c:pt>
                <c:pt idx="22">
                  <c:v>5994</c:v>
                </c:pt>
                <c:pt idx="23">
                  <c:v>6782</c:v>
                </c:pt>
                <c:pt idx="24">
                  <c:v>6878</c:v>
                </c:pt>
                <c:pt idx="25">
                  <c:v>7270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A4C-A742-9107-D39F88C297F9}"/>
            </c:ext>
          </c:extLst>
        </c:ser>
        <c:ser>
          <c:idx val="0"/>
          <c:order val="6"/>
          <c:tx>
            <c:strRef>
              <c:f>fig_012!$H$1</c:f>
              <c:strCache>
                <c:ptCount val="1"/>
                <c:pt idx="0">
                  <c:v>Middle East and North Africa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cat>
            <c:numRef>
              <c:f>fig_012!$A$2:$A$27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fig_012!$H$2:$H$27</c:f>
              <c:numCache>
                <c:formatCode>General</c:formatCode>
                <c:ptCount val="26"/>
                <c:pt idx="0">
                  <c:v>26897</c:v>
                </c:pt>
                <c:pt idx="1">
                  <c:v>28476</c:v>
                </c:pt>
                <c:pt idx="2">
                  <c:v>29642</c:v>
                </c:pt>
                <c:pt idx="3">
                  <c:v>26155</c:v>
                </c:pt>
                <c:pt idx="4">
                  <c:v>23100</c:v>
                </c:pt>
                <c:pt idx="5">
                  <c:v>21056</c:v>
                </c:pt>
                <c:pt idx="6">
                  <c:v>21267</c:v>
                </c:pt>
                <c:pt idx="7">
                  <c:v>25700</c:v>
                </c:pt>
                <c:pt idx="8">
                  <c:v>28389</c:v>
                </c:pt>
                <c:pt idx="9">
                  <c:v>33369</c:v>
                </c:pt>
                <c:pt idx="10">
                  <c:v>38738</c:v>
                </c:pt>
                <c:pt idx="11">
                  <c:v>47963</c:v>
                </c:pt>
                <c:pt idx="12">
                  <c:v>62120</c:v>
                </c:pt>
                <c:pt idx="13">
                  <c:v>77049</c:v>
                </c:pt>
                <c:pt idx="14">
                  <c:v>92618</c:v>
                </c:pt>
                <c:pt idx="15">
                  <c:v>103307</c:v>
                </c:pt>
                <c:pt idx="16">
                  <c:v>108227</c:v>
                </c:pt>
                <c:pt idx="17">
                  <c:v>100014</c:v>
                </c:pt>
                <c:pt idx="18">
                  <c:v>91375</c:v>
                </c:pt>
                <c:pt idx="19">
                  <c:v>81126</c:v>
                </c:pt>
                <c:pt idx="20">
                  <c:v>72325</c:v>
                </c:pt>
                <c:pt idx="21">
                  <c:v>57564</c:v>
                </c:pt>
                <c:pt idx="22">
                  <c:v>53104</c:v>
                </c:pt>
                <c:pt idx="23">
                  <c:v>52295</c:v>
                </c:pt>
                <c:pt idx="24">
                  <c:v>52292</c:v>
                </c:pt>
                <c:pt idx="25">
                  <c:v>51018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A4C-A742-9107-D39F88C29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997952"/>
        <c:axId val="1367926848"/>
      </c:areaChart>
      <c:catAx>
        <c:axId val="128899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6848"/>
        <c:crosses val="autoZero"/>
        <c:auto val="1"/>
        <c:lblAlgn val="ctr"/>
        <c:lblOffset val="100"/>
        <c:noMultiLvlLbl val="0"/>
      </c:catAx>
      <c:valAx>
        <c:axId val="13679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997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8</xdr:row>
      <xdr:rowOff>152400</xdr:rowOff>
    </xdr:from>
    <xdr:to>
      <xdr:col>22</xdr:col>
      <xdr:colOff>495300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11E1CB-857C-E942-B366-6125972B9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0</xdr:row>
      <xdr:rowOff>1</xdr:rowOff>
    </xdr:from>
    <xdr:to>
      <xdr:col>23</xdr:col>
      <xdr:colOff>152401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66285-4681-EC40-A3FF-19247E413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http://tomorrow.io/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worldbank.org/indicator/SE.XPD.TOTL.GD.ZS?end=2021&amp;locations=US&amp;start=2015&amp;view=chart" TargetMode="External"/><Relationship Id="rId1" Type="http://schemas.openxmlformats.org/officeDocument/2006/relationships/hyperlink" Target="https://nces.ed.gov/programs/coe/indicator/cmb/public-school-expenditure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0"/>
  <dimension ref="A1:D32"/>
  <sheetViews>
    <sheetView workbookViewId="0">
      <selection activeCell="F15" sqref="F15"/>
    </sheetView>
  </sheetViews>
  <sheetFormatPr baseColWidth="10" defaultColWidth="8.83203125" defaultRowHeight="15"/>
  <sheetData>
    <row r="1" spans="1:4">
      <c r="A1" s="37" t="s">
        <v>0</v>
      </c>
      <c r="B1" s="37" t="s">
        <v>14</v>
      </c>
      <c r="C1" s="37" t="s">
        <v>15</v>
      </c>
      <c r="D1" s="37" t="s">
        <v>16</v>
      </c>
    </row>
    <row r="2" spans="1:4">
      <c r="A2" s="37">
        <v>1995</v>
      </c>
      <c r="B2" s="38">
        <v>304025</v>
      </c>
      <c r="C2" s="38">
        <v>95608</v>
      </c>
      <c r="D2" s="38">
        <v>51768</v>
      </c>
    </row>
    <row r="3" spans="1:4">
      <c r="A3" s="37">
        <v>1996</v>
      </c>
      <c r="B3" s="38">
        <v>313180</v>
      </c>
      <c r="C3" s="38">
        <v>97732</v>
      </c>
      <c r="D3" s="38">
        <v>52622</v>
      </c>
    </row>
    <row r="4" spans="1:4">
      <c r="A4" s="37">
        <v>1997</v>
      </c>
      <c r="B4" s="38">
        <v>316366</v>
      </c>
      <c r="C4" s="38">
        <v>97773</v>
      </c>
      <c r="D4" s="38">
        <v>53718</v>
      </c>
    </row>
    <row r="5" spans="1:4">
      <c r="A5" s="37">
        <v>1998</v>
      </c>
      <c r="B5" s="38">
        <v>318238</v>
      </c>
      <c r="C5" s="38">
        <v>102799</v>
      </c>
      <c r="D5" s="38">
        <v>55321</v>
      </c>
    </row>
    <row r="6" spans="1:4">
      <c r="A6" s="37">
        <v>1999</v>
      </c>
      <c r="B6" s="38">
        <v>317412</v>
      </c>
      <c r="C6" s="38">
        <v>103719</v>
      </c>
      <c r="D6" s="38">
        <v>54206</v>
      </c>
    </row>
    <row r="7" spans="1:4">
      <c r="A7" s="37">
        <v>2000</v>
      </c>
      <c r="B7" s="38">
        <v>319041</v>
      </c>
      <c r="C7" s="38">
        <v>107489</v>
      </c>
      <c r="D7" s="38">
        <v>56268</v>
      </c>
    </row>
    <row r="8" spans="1:4">
      <c r="A8" s="37">
        <v>2001</v>
      </c>
      <c r="B8" s="38">
        <v>314673</v>
      </c>
      <c r="C8" s="38">
        <v>111254</v>
      </c>
      <c r="D8" s="38">
        <v>57185</v>
      </c>
    </row>
    <row r="9" spans="1:4">
      <c r="A9" s="37">
        <v>2002</v>
      </c>
      <c r="B9" s="38">
        <v>319321</v>
      </c>
      <c r="C9" s="38">
        <v>111352</v>
      </c>
      <c r="D9" s="38">
        <v>57014</v>
      </c>
    </row>
    <row r="10" spans="1:4">
      <c r="A10" s="37">
        <v>2003</v>
      </c>
      <c r="B10" s="38">
        <v>334154</v>
      </c>
      <c r="C10" s="38">
        <v>119413</v>
      </c>
      <c r="D10" s="38">
        <v>57600</v>
      </c>
    </row>
    <row r="11" spans="1:4">
      <c r="A11" s="37">
        <v>2004</v>
      </c>
      <c r="B11" s="38">
        <v>341319</v>
      </c>
      <c r="C11" s="38">
        <v>129541</v>
      </c>
      <c r="D11" s="38">
        <v>60871</v>
      </c>
    </row>
    <row r="12" spans="1:4">
      <c r="A12" s="37">
        <v>2005</v>
      </c>
      <c r="B12" s="38">
        <v>349542</v>
      </c>
      <c r="C12" s="38">
        <v>130818</v>
      </c>
      <c r="D12" s="38">
        <v>64654</v>
      </c>
    </row>
    <row r="13" spans="1:4">
      <c r="A13" s="37">
        <v>2006</v>
      </c>
      <c r="B13" s="38">
        <v>362810</v>
      </c>
      <c r="C13" s="38">
        <v>133986</v>
      </c>
      <c r="D13" s="38">
        <v>68071</v>
      </c>
    </row>
    <row r="14" spans="1:4">
      <c r="A14" s="37">
        <v>2007</v>
      </c>
      <c r="B14" s="38">
        <v>375071</v>
      </c>
      <c r="C14" s="38">
        <v>134519</v>
      </c>
      <c r="D14" s="38">
        <v>73105</v>
      </c>
    </row>
    <row r="15" spans="1:4">
      <c r="A15" s="37">
        <v>2008</v>
      </c>
      <c r="B15" s="38">
        <v>387249</v>
      </c>
      <c r="C15" s="38">
        <v>143125</v>
      </c>
      <c r="D15" s="38">
        <v>76679</v>
      </c>
    </row>
    <row r="16" spans="1:4">
      <c r="A16" s="37">
        <v>2009</v>
      </c>
      <c r="B16" s="38">
        <v>401749</v>
      </c>
      <c r="C16" s="38">
        <v>153804</v>
      </c>
      <c r="D16" s="38">
        <v>80130</v>
      </c>
    </row>
    <row r="17" spans="1:4">
      <c r="A17" s="37">
        <v>2010</v>
      </c>
      <c r="B17" s="38">
        <v>425389</v>
      </c>
      <c r="C17" s="38">
        <v>163592</v>
      </c>
      <c r="D17" s="38">
        <v>83412</v>
      </c>
    </row>
    <row r="18" spans="1:4">
      <c r="A18" s="37">
        <v>2011</v>
      </c>
      <c r="B18" s="38">
        <v>455414</v>
      </c>
      <c r="C18" s="38">
        <v>178031</v>
      </c>
      <c r="D18" s="38">
        <v>86918</v>
      </c>
    </row>
    <row r="19" spans="1:4">
      <c r="A19" s="37">
        <v>2012</v>
      </c>
      <c r="B19" s="38">
        <v>499036</v>
      </c>
      <c r="C19" s="38">
        <v>193825</v>
      </c>
      <c r="D19" s="38">
        <v>89806</v>
      </c>
    </row>
    <row r="20" spans="1:4">
      <c r="A20" s="37">
        <v>2013</v>
      </c>
      <c r="B20" s="38">
        <v>535440</v>
      </c>
      <c r="C20" s="38">
        <v>204164</v>
      </c>
      <c r="D20" s="38">
        <v>93871</v>
      </c>
    </row>
    <row r="21" spans="1:4">
      <c r="A21" s="37">
        <v>2014</v>
      </c>
      <c r="B21" s="38">
        <v>570934</v>
      </c>
      <c r="C21" s="38">
        <v>214935</v>
      </c>
      <c r="D21" s="38">
        <v>97780</v>
      </c>
    </row>
    <row r="22" spans="1:4">
      <c r="A22" s="37">
        <v>2015</v>
      </c>
      <c r="B22" s="38">
        <v>607273</v>
      </c>
      <c r="C22" s="38">
        <v>232765</v>
      </c>
      <c r="D22" s="38">
        <v>101431</v>
      </c>
    </row>
    <row r="23" spans="1:4">
      <c r="A23" s="37">
        <v>2016</v>
      </c>
      <c r="B23" s="38">
        <v>639995</v>
      </c>
      <c r="C23" s="38">
        <v>257355</v>
      </c>
      <c r="D23" s="38">
        <v>104308</v>
      </c>
    </row>
    <row r="24" spans="1:4">
      <c r="A24" s="37">
        <v>2017</v>
      </c>
      <c r="B24" s="38">
        <v>672240</v>
      </c>
      <c r="C24" s="38">
        <v>276576</v>
      </c>
      <c r="D24" s="38">
        <v>108683</v>
      </c>
    </row>
    <row r="25" spans="1:4">
      <c r="A25" s="37">
        <v>2018</v>
      </c>
      <c r="B25" s="38">
        <v>699312</v>
      </c>
      <c r="C25" s="38">
        <v>283898</v>
      </c>
      <c r="D25" s="38">
        <v>112042</v>
      </c>
    </row>
    <row r="26" spans="1:4">
      <c r="A26" s="37">
        <v>2019</v>
      </c>
      <c r="B26" s="38">
        <v>725022</v>
      </c>
      <c r="C26" s="38">
        <v>288239</v>
      </c>
      <c r="D26" s="38">
        <v>115343</v>
      </c>
    </row>
    <row r="27" spans="1:4">
      <c r="A27" s="37">
        <v>2020</v>
      </c>
      <c r="B27" s="38">
        <v>748929</v>
      </c>
      <c r="C27" s="38">
        <v>296434</v>
      </c>
      <c r="D27" s="38">
        <v>117809</v>
      </c>
    </row>
    <row r="28" spans="1:4">
      <c r="A28" s="37">
        <v>2021</v>
      </c>
      <c r="B28" s="38">
        <v>768803</v>
      </c>
      <c r="C28" s="38">
        <v>306833</v>
      </c>
      <c r="D28" s="38">
        <v>120458</v>
      </c>
    </row>
    <row r="29" spans="1:4">
      <c r="A29" s="37">
        <v>2022</v>
      </c>
      <c r="B29" s="38">
        <v>760991</v>
      </c>
      <c r="C29" s="38">
        <v>306128</v>
      </c>
      <c r="D29" s="38">
        <v>126464</v>
      </c>
    </row>
    <row r="30" spans="1:4">
      <c r="A30" s="37">
        <v>2023</v>
      </c>
      <c r="B30" s="38">
        <v>746586</v>
      </c>
      <c r="C30" s="38">
        <v>351234</v>
      </c>
      <c r="D30" s="38">
        <v>127414</v>
      </c>
    </row>
    <row r="31" spans="1:4">
      <c r="A31" s="37">
        <v>2024</v>
      </c>
      <c r="B31" s="38">
        <v>744558</v>
      </c>
      <c r="C31" s="38">
        <v>366134</v>
      </c>
      <c r="D31" s="38">
        <v>129029</v>
      </c>
    </row>
    <row r="32" spans="1:4">
      <c r="B32" s="136"/>
      <c r="C32" s="136"/>
      <c r="D32" s="13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5CB9-CA56-2E4D-B28A-21AFB9F649A7}">
  <sheetPr codeName="Sheet114"/>
  <dimension ref="A1:J36"/>
  <sheetViews>
    <sheetView workbookViewId="0">
      <selection activeCell="C34" sqref="C34"/>
    </sheetView>
  </sheetViews>
  <sheetFormatPr baseColWidth="10" defaultRowHeight="15"/>
  <cols>
    <col min="3" max="3" width="11.6640625" bestFit="1" customWidth="1"/>
  </cols>
  <sheetData>
    <row r="1" spans="1:10">
      <c r="A1" s="7" t="s">
        <v>0</v>
      </c>
      <c r="B1" s="7" t="s">
        <v>14</v>
      </c>
      <c r="C1" s="7" t="s">
        <v>449</v>
      </c>
      <c r="D1" s="7" t="s">
        <v>450</v>
      </c>
      <c r="E1" s="7" t="s">
        <v>15</v>
      </c>
      <c r="F1" s="7" t="s">
        <v>451</v>
      </c>
      <c r="G1" s="7" t="s">
        <v>452</v>
      </c>
      <c r="H1" s="7" t="s">
        <v>16</v>
      </c>
      <c r="I1" s="7" t="s">
        <v>453</v>
      </c>
      <c r="J1" s="7" t="s">
        <v>454</v>
      </c>
    </row>
    <row r="2" spans="1:10">
      <c r="A2" s="7">
        <v>1995</v>
      </c>
      <c r="B2" s="7">
        <v>12.85</v>
      </c>
      <c r="C2" s="7">
        <v>304025</v>
      </c>
      <c r="D2" s="7">
        <v>2365560</v>
      </c>
      <c r="E2" s="7">
        <v>11.87</v>
      </c>
      <c r="F2" s="7">
        <v>95608</v>
      </c>
      <c r="G2" s="7">
        <v>805154</v>
      </c>
      <c r="H2" s="7">
        <v>20.95</v>
      </c>
      <c r="I2" s="7">
        <v>51768</v>
      </c>
      <c r="J2" s="7">
        <v>247076</v>
      </c>
    </row>
    <row r="3" spans="1:10">
      <c r="A3" s="7">
        <v>1996</v>
      </c>
      <c r="B3" s="7">
        <v>13.25</v>
      </c>
      <c r="C3" s="7">
        <v>313180</v>
      </c>
      <c r="D3" s="7">
        <v>2363274</v>
      </c>
      <c r="E3" s="7">
        <v>11.93</v>
      </c>
      <c r="F3" s="7">
        <v>97732</v>
      </c>
      <c r="G3" s="7">
        <v>819186</v>
      </c>
      <c r="H3" s="7">
        <v>21.46</v>
      </c>
      <c r="I3" s="7">
        <v>52622</v>
      </c>
      <c r="J3" s="7">
        <v>245156</v>
      </c>
    </row>
    <row r="4" spans="1:10">
      <c r="A4" s="7">
        <v>1997</v>
      </c>
      <c r="B4" s="7">
        <v>13.31</v>
      </c>
      <c r="C4" s="7">
        <v>316366</v>
      </c>
      <c r="D4" s="7">
        <v>2376770</v>
      </c>
      <c r="E4" s="7">
        <v>11.6</v>
      </c>
      <c r="F4" s="7">
        <v>97773</v>
      </c>
      <c r="G4" s="7">
        <v>843046</v>
      </c>
      <c r="H4" s="7">
        <v>21.4</v>
      </c>
      <c r="I4" s="7">
        <v>53718</v>
      </c>
      <c r="J4" s="7">
        <v>251030</v>
      </c>
    </row>
    <row r="5" spans="1:10">
      <c r="A5" s="7">
        <v>1998</v>
      </c>
      <c r="B5" s="7">
        <v>13.22</v>
      </c>
      <c r="C5" s="7">
        <v>318238</v>
      </c>
      <c r="D5" s="7">
        <v>2407654</v>
      </c>
      <c r="E5" s="7">
        <v>11.83</v>
      </c>
      <c r="F5" s="7">
        <v>102799</v>
      </c>
      <c r="G5" s="7">
        <v>868982</v>
      </c>
      <c r="H5" s="7">
        <v>21.85</v>
      </c>
      <c r="I5" s="7">
        <v>55321</v>
      </c>
      <c r="J5" s="7">
        <v>253184</v>
      </c>
    </row>
    <row r="6" spans="1:10">
      <c r="A6" s="7">
        <v>1999</v>
      </c>
      <c r="B6" s="7">
        <v>12.97</v>
      </c>
      <c r="C6" s="7">
        <v>317412</v>
      </c>
      <c r="D6" s="7">
        <v>2446646</v>
      </c>
      <c r="E6" s="7">
        <v>11.66</v>
      </c>
      <c r="F6" s="7">
        <v>103719</v>
      </c>
      <c r="G6" s="7">
        <v>889272</v>
      </c>
      <c r="H6" s="7">
        <v>21.79</v>
      </c>
      <c r="I6" s="7">
        <v>54206</v>
      </c>
      <c r="J6" s="7">
        <v>248720</v>
      </c>
    </row>
    <row r="7" spans="1:10">
      <c r="A7" s="7">
        <v>2000</v>
      </c>
      <c r="B7" s="7">
        <v>12.67</v>
      </c>
      <c r="C7" s="7">
        <v>319041</v>
      </c>
      <c r="D7" s="7">
        <v>2518462</v>
      </c>
      <c r="E7" s="7">
        <v>11.64</v>
      </c>
      <c r="F7" s="7">
        <v>107489</v>
      </c>
      <c r="G7" s="7">
        <v>923214</v>
      </c>
      <c r="H7" s="7">
        <v>22.25</v>
      </c>
      <c r="I7" s="7">
        <v>56268</v>
      </c>
      <c r="J7" s="7">
        <v>252876</v>
      </c>
    </row>
    <row r="8" spans="1:10">
      <c r="A8" s="7">
        <v>2001</v>
      </c>
      <c r="B8" s="7">
        <v>12.44</v>
      </c>
      <c r="C8" s="7">
        <v>314673</v>
      </c>
      <c r="D8" s="7">
        <v>2529538</v>
      </c>
      <c r="E8" s="7">
        <v>11.77</v>
      </c>
      <c r="F8" s="7">
        <v>111254</v>
      </c>
      <c r="G8" s="7">
        <v>945148</v>
      </c>
      <c r="H8" s="7">
        <v>22.58</v>
      </c>
      <c r="I8" s="7">
        <v>57185</v>
      </c>
      <c r="J8" s="7">
        <v>253304</v>
      </c>
    </row>
    <row r="9" spans="1:10">
      <c r="A9" s="7">
        <v>2002</v>
      </c>
      <c r="B9" s="7">
        <v>12.15</v>
      </c>
      <c r="C9" s="7">
        <v>319321</v>
      </c>
      <c r="D9" s="7">
        <v>2627228</v>
      </c>
      <c r="E9" s="7">
        <v>11.44</v>
      </c>
      <c r="F9" s="7">
        <v>111352</v>
      </c>
      <c r="G9" s="7">
        <v>973528</v>
      </c>
      <c r="H9" s="7">
        <v>22.4</v>
      </c>
      <c r="I9" s="7">
        <v>57014</v>
      </c>
      <c r="J9" s="7">
        <v>254526</v>
      </c>
    </row>
    <row r="10" spans="1:10">
      <c r="A10" s="7">
        <v>2003</v>
      </c>
      <c r="B10" s="7">
        <v>12.19</v>
      </c>
      <c r="C10" s="7">
        <v>334154</v>
      </c>
      <c r="D10" s="7">
        <v>2741460</v>
      </c>
      <c r="E10" s="7">
        <v>11.51</v>
      </c>
      <c r="F10" s="7">
        <v>119413</v>
      </c>
      <c r="G10" s="7">
        <v>1037920</v>
      </c>
      <c r="H10" s="7">
        <v>22.25</v>
      </c>
      <c r="I10" s="7">
        <v>57600</v>
      </c>
      <c r="J10" s="7">
        <v>258928</v>
      </c>
    </row>
    <row r="11" spans="1:10">
      <c r="A11" s="7">
        <v>2004</v>
      </c>
      <c r="B11" s="7">
        <v>12</v>
      </c>
      <c r="C11" s="7">
        <v>341319</v>
      </c>
      <c r="D11" s="7">
        <v>2843730</v>
      </c>
      <c r="E11" s="7">
        <v>11.45</v>
      </c>
      <c r="F11" s="7">
        <v>129541</v>
      </c>
      <c r="G11" s="7">
        <v>1131134</v>
      </c>
      <c r="H11" s="7">
        <v>22.65</v>
      </c>
      <c r="I11" s="7">
        <v>60871</v>
      </c>
      <c r="J11" s="7">
        <v>268716</v>
      </c>
    </row>
    <row r="12" spans="1:10">
      <c r="A12" s="7">
        <v>2005</v>
      </c>
      <c r="B12" s="7">
        <v>11.96</v>
      </c>
      <c r="C12" s="7">
        <v>349542</v>
      </c>
      <c r="D12" s="7">
        <v>2921860</v>
      </c>
      <c r="E12" s="7">
        <v>11.24</v>
      </c>
      <c r="F12" s="7">
        <v>130818</v>
      </c>
      <c r="G12" s="7">
        <v>1163516</v>
      </c>
      <c r="H12" s="7">
        <v>22.74</v>
      </c>
      <c r="I12" s="7">
        <v>64654</v>
      </c>
      <c r="J12" s="7">
        <v>284346</v>
      </c>
    </row>
    <row r="13" spans="1:10">
      <c r="A13" s="7">
        <v>2006</v>
      </c>
      <c r="B13" s="7">
        <v>12.06</v>
      </c>
      <c r="C13" s="7">
        <v>362810</v>
      </c>
      <c r="D13" s="7">
        <v>3009550</v>
      </c>
      <c r="E13" s="7">
        <v>11.13</v>
      </c>
      <c r="F13" s="7">
        <v>133986</v>
      </c>
      <c r="G13" s="7">
        <v>1204326</v>
      </c>
      <c r="H13" s="7">
        <v>23.27</v>
      </c>
      <c r="I13" s="7">
        <v>68071</v>
      </c>
      <c r="J13" s="7">
        <v>292552</v>
      </c>
    </row>
    <row r="14" spans="1:10">
      <c r="A14" s="7">
        <v>2007</v>
      </c>
      <c r="B14" s="7">
        <v>12.12</v>
      </c>
      <c r="C14" s="7">
        <v>375071</v>
      </c>
      <c r="D14" s="7">
        <v>3093422</v>
      </c>
      <c r="E14" s="7">
        <v>10.98</v>
      </c>
      <c r="F14" s="7">
        <v>134519</v>
      </c>
      <c r="G14" s="7">
        <v>1224628</v>
      </c>
      <c r="H14" s="7">
        <v>23.88</v>
      </c>
      <c r="I14" s="7">
        <v>73105</v>
      </c>
      <c r="J14" s="7">
        <v>306100</v>
      </c>
    </row>
    <row r="15" spans="1:10">
      <c r="A15" s="7">
        <v>2008</v>
      </c>
      <c r="B15" s="7">
        <v>12.24</v>
      </c>
      <c r="C15" s="7">
        <v>387249</v>
      </c>
      <c r="D15" s="7">
        <v>3164548</v>
      </c>
      <c r="E15" s="7">
        <v>11.27</v>
      </c>
      <c r="F15" s="7">
        <v>143125</v>
      </c>
      <c r="G15" s="7">
        <v>1270026</v>
      </c>
      <c r="H15" s="7">
        <v>24.62</v>
      </c>
      <c r="I15" s="7">
        <v>76679</v>
      </c>
      <c r="J15" s="7">
        <v>311494</v>
      </c>
    </row>
    <row r="16" spans="1:10">
      <c r="A16" s="7">
        <v>2009</v>
      </c>
      <c r="B16" s="7">
        <v>12.39</v>
      </c>
      <c r="C16" s="7">
        <v>401749</v>
      </c>
      <c r="D16" s="7">
        <v>3241684</v>
      </c>
      <c r="E16" s="7">
        <v>11.48</v>
      </c>
      <c r="F16" s="7">
        <v>153804</v>
      </c>
      <c r="G16" s="7">
        <v>1339528</v>
      </c>
      <c r="H16" s="7">
        <v>25.07</v>
      </c>
      <c r="I16" s="7">
        <v>80130</v>
      </c>
      <c r="J16" s="7">
        <v>319574</v>
      </c>
    </row>
    <row r="17" spans="1:10">
      <c r="A17" s="7">
        <v>2010</v>
      </c>
      <c r="B17" s="7">
        <v>12.74</v>
      </c>
      <c r="C17" s="7">
        <v>425389</v>
      </c>
      <c r="D17" s="7">
        <v>3339878</v>
      </c>
      <c r="E17" s="7">
        <v>11.63</v>
      </c>
      <c r="F17" s="7">
        <v>163592</v>
      </c>
      <c r="G17" s="7">
        <v>1406228</v>
      </c>
      <c r="H17" s="7">
        <v>26</v>
      </c>
      <c r="I17" s="7">
        <v>83412</v>
      </c>
      <c r="J17" s="7">
        <v>320822</v>
      </c>
    </row>
    <row r="18" spans="1:10">
      <c r="A18" s="7">
        <v>2011</v>
      </c>
      <c r="B18" s="7">
        <v>13.12</v>
      </c>
      <c r="C18" s="7">
        <v>455414</v>
      </c>
      <c r="D18" s="7">
        <v>3471246</v>
      </c>
      <c r="E18" s="7">
        <v>12</v>
      </c>
      <c r="F18" s="7">
        <v>178031</v>
      </c>
      <c r="G18" s="7">
        <v>1483770</v>
      </c>
      <c r="H18" s="7">
        <v>26.22</v>
      </c>
      <c r="I18" s="7">
        <v>86918</v>
      </c>
      <c r="J18" s="7">
        <v>331490</v>
      </c>
    </row>
    <row r="19" spans="1:10">
      <c r="A19" s="7">
        <v>2012</v>
      </c>
      <c r="B19" s="7">
        <v>13.75</v>
      </c>
      <c r="C19" s="7">
        <v>499036</v>
      </c>
      <c r="D19" s="7">
        <v>3629280</v>
      </c>
      <c r="E19" s="7">
        <v>12.64</v>
      </c>
      <c r="F19" s="7">
        <v>193825</v>
      </c>
      <c r="G19" s="7">
        <v>1533880</v>
      </c>
      <c r="H19" s="7">
        <v>26.09</v>
      </c>
      <c r="I19" s="7">
        <v>89806</v>
      </c>
      <c r="J19" s="7">
        <v>344194</v>
      </c>
    </row>
    <row r="20" spans="1:10">
      <c r="A20" s="7">
        <v>2013</v>
      </c>
      <c r="B20" s="7">
        <v>14.37</v>
      </c>
      <c r="C20" s="7">
        <v>535440</v>
      </c>
      <c r="D20" s="7">
        <v>3726974</v>
      </c>
      <c r="E20" s="7">
        <v>13.37</v>
      </c>
      <c r="F20" s="7">
        <v>204164</v>
      </c>
      <c r="G20" s="7">
        <v>1526772</v>
      </c>
      <c r="H20" s="7">
        <v>26.4</v>
      </c>
      <c r="I20" s="7">
        <v>93871</v>
      </c>
      <c r="J20" s="7">
        <v>355548</v>
      </c>
    </row>
    <row r="21" spans="1:10">
      <c r="A21" s="7">
        <v>2014</v>
      </c>
      <c r="B21" s="7">
        <v>15.08</v>
      </c>
      <c r="C21" s="7">
        <v>570934</v>
      </c>
      <c r="D21" s="7">
        <v>3786358</v>
      </c>
      <c r="E21" s="7">
        <v>14.04</v>
      </c>
      <c r="F21" s="7">
        <v>214935</v>
      </c>
      <c r="G21" s="7">
        <v>1531318</v>
      </c>
      <c r="H21" s="7">
        <v>27.24</v>
      </c>
      <c r="I21" s="7">
        <v>97780</v>
      </c>
      <c r="J21" s="7">
        <v>358894</v>
      </c>
    </row>
    <row r="22" spans="1:10">
      <c r="A22" s="7">
        <v>2015</v>
      </c>
      <c r="B22" s="7">
        <v>15.83</v>
      </c>
      <c r="C22" s="7">
        <v>607273</v>
      </c>
      <c r="D22" s="7">
        <v>3836762</v>
      </c>
      <c r="E22" s="7">
        <v>15.12</v>
      </c>
      <c r="F22" s="7">
        <v>232765</v>
      </c>
      <c r="G22" s="7">
        <v>1539576</v>
      </c>
      <c r="H22" s="7">
        <v>28.12</v>
      </c>
      <c r="I22" s="7">
        <v>101431</v>
      </c>
      <c r="J22" s="7">
        <v>360724</v>
      </c>
    </row>
    <row r="23" spans="1:10">
      <c r="A23" s="7">
        <v>2016</v>
      </c>
      <c r="B23" s="7">
        <v>16.46</v>
      </c>
      <c r="C23" s="7">
        <v>639995</v>
      </c>
      <c r="D23" s="7">
        <v>3888806</v>
      </c>
      <c r="E23" s="7">
        <v>16.149999999999999</v>
      </c>
      <c r="F23" s="7">
        <v>257355</v>
      </c>
      <c r="G23" s="7">
        <v>1593846</v>
      </c>
      <c r="H23" s="7">
        <v>28.92</v>
      </c>
      <c r="I23" s="7">
        <v>104308</v>
      </c>
      <c r="J23" s="7">
        <v>360708</v>
      </c>
    </row>
    <row r="24" spans="1:10">
      <c r="A24" s="7">
        <v>2017</v>
      </c>
      <c r="B24" s="7">
        <v>16.97</v>
      </c>
      <c r="C24" s="7">
        <v>672240</v>
      </c>
      <c r="D24" s="7">
        <v>3961240</v>
      </c>
      <c r="E24" s="7">
        <v>16.96</v>
      </c>
      <c r="F24" s="7">
        <v>276576</v>
      </c>
      <c r="G24" s="7">
        <v>1630362</v>
      </c>
      <c r="H24" s="7">
        <v>29.66</v>
      </c>
      <c r="I24" s="7">
        <v>108683</v>
      </c>
      <c r="J24" s="7">
        <v>366392</v>
      </c>
    </row>
    <row r="25" spans="1:10">
      <c r="A25" s="7">
        <v>2018</v>
      </c>
      <c r="B25" s="7">
        <v>17.41</v>
      </c>
      <c r="C25" s="7">
        <v>699312</v>
      </c>
      <c r="D25" s="7">
        <v>4016566</v>
      </c>
      <c r="E25" s="7">
        <v>17.03</v>
      </c>
      <c r="F25" s="7">
        <v>283898</v>
      </c>
      <c r="G25" s="7">
        <v>1666974</v>
      </c>
      <c r="H25" s="7">
        <v>30.02</v>
      </c>
      <c r="I25" s="7">
        <v>112042</v>
      </c>
      <c r="J25" s="7">
        <v>373206</v>
      </c>
    </row>
    <row r="26" spans="1:10">
      <c r="A26" s="7">
        <v>2019</v>
      </c>
      <c r="B26" s="7">
        <v>17.8</v>
      </c>
      <c r="C26" s="7">
        <v>725022</v>
      </c>
      <c r="D26" s="7">
        <v>4072618</v>
      </c>
      <c r="E26" s="7">
        <v>17.04</v>
      </c>
      <c r="F26" s="7">
        <v>288239</v>
      </c>
      <c r="G26" s="7">
        <v>1691478</v>
      </c>
      <c r="H26" s="7">
        <v>30.41</v>
      </c>
      <c r="I26" s="7">
        <v>115343</v>
      </c>
      <c r="J26" s="7">
        <v>379242</v>
      </c>
    </row>
    <row r="27" spans="1:10">
      <c r="A27" s="7">
        <v>2020</v>
      </c>
      <c r="B27" s="7">
        <v>18.170000000000002</v>
      </c>
      <c r="C27" s="7">
        <v>748929</v>
      </c>
      <c r="D27" s="7">
        <v>4122118</v>
      </c>
      <c r="E27" s="7">
        <v>17.32</v>
      </c>
      <c r="F27" s="7">
        <v>296434</v>
      </c>
      <c r="G27" s="7">
        <v>1711160</v>
      </c>
      <c r="H27" s="7">
        <v>30.68</v>
      </c>
      <c r="I27" s="7">
        <v>117809</v>
      </c>
      <c r="J27" s="7">
        <v>384052</v>
      </c>
    </row>
    <row r="28" spans="1:10">
      <c r="A28" s="7">
        <v>2021</v>
      </c>
      <c r="B28" s="7">
        <v>18.399999999999999</v>
      </c>
      <c r="C28" s="7">
        <v>768803</v>
      </c>
      <c r="D28" s="7">
        <v>4179084</v>
      </c>
      <c r="E28" s="7">
        <v>17.420000000000002</v>
      </c>
      <c r="F28" s="7">
        <v>306833</v>
      </c>
      <c r="G28" s="7">
        <v>1761044</v>
      </c>
      <c r="H28" s="7">
        <v>30.68</v>
      </c>
      <c r="I28" s="7">
        <v>120458</v>
      </c>
      <c r="J28" s="7">
        <v>392596</v>
      </c>
    </row>
    <row r="29" spans="1:10">
      <c r="A29" s="7">
        <v>2022</v>
      </c>
      <c r="B29" s="7">
        <v>18.690000000000001</v>
      </c>
      <c r="C29" s="7">
        <v>760991</v>
      </c>
      <c r="D29" s="7">
        <v>4072672</v>
      </c>
      <c r="E29" s="7">
        <v>17.12</v>
      </c>
      <c r="F29" s="7">
        <v>306128</v>
      </c>
      <c r="G29" s="7">
        <v>1788554</v>
      </c>
      <c r="H29" s="7">
        <v>30.62</v>
      </c>
      <c r="I29" s="7">
        <v>126464</v>
      </c>
      <c r="J29" s="7">
        <v>413040</v>
      </c>
    </row>
    <row r="30" spans="1:10">
      <c r="A30" s="7">
        <v>2023</v>
      </c>
      <c r="B30" s="7">
        <v>18.8</v>
      </c>
      <c r="C30" s="7">
        <v>746586</v>
      </c>
      <c r="D30" s="7">
        <v>3971524</v>
      </c>
      <c r="E30" s="7">
        <v>18.53</v>
      </c>
      <c r="F30" s="7">
        <v>351234</v>
      </c>
      <c r="G30" s="7">
        <v>1895456</v>
      </c>
      <c r="H30" s="7">
        <v>30.66</v>
      </c>
      <c r="I30" s="7">
        <v>127414</v>
      </c>
      <c r="J30" s="7">
        <v>415528</v>
      </c>
    </row>
    <row r="31" spans="1:10">
      <c r="A31" s="7">
        <v>2024</v>
      </c>
      <c r="B31" s="7">
        <v>18.850000000000001</v>
      </c>
      <c r="C31" s="7">
        <v>744558</v>
      </c>
      <c r="D31" s="7">
        <v>3949668</v>
      </c>
      <c r="E31" s="7">
        <v>19.3</v>
      </c>
      <c r="F31" s="7">
        <v>366134</v>
      </c>
      <c r="G31" s="7">
        <v>1897064</v>
      </c>
      <c r="H31" s="7">
        <v>29.89</v>
      </c>
      <c r="I31" s="7">
        <v>129029</v>
      </c>
      <c r="J31" s="7">
        <v>431628</v>
      </c>
    </row>
    <row r="33" spans="3:10">
      <c r="C33" s="25"/>
      <c r="D33" s="3"/>
      <c r="G33" s="3"/>
      <c r="J33" s="3"/>
    </row>
    <row r="36" spans="3:10">
      <c r="C3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D68"/>
  <sheetViews>
    <sheetView workbookViewId="0">
      <selection activeCell="E72" sqref="E72"/>
    </sheetView>
  </sheetViews>
  <sheetFormatPr baseColWidth="10" defaultColWidth="8.83203125" defaultRowHeight="15"/>
  <sheetData>
    <row r="1" spans="1:4">
      <c r="A1" s="70" t="s">
        <v>0</v>
      </c>
      <c r="B1" s="70" t="s">
        <v>379</v>
      </c>
      <c r="C1" s="70" t="s">
        <v>503</v>
      </c>
      <c r="D1" s="1"/>
    </row>
    <row r="2" spans="1:4">
      <c r="A2" s="71">
        <v>1958</v>
      </c>
      <c r="B2" s="72">
        <v>8773</v>
      </c>
      <c r="C2" s="71" t="s">
        <v>21</v>
      </c>
      <c r="D2" s="1"/>
    </row>
    <row r="3" spans="1:4">
      <c r="A3" s="71">
        <v>1959</v>
      </c>
      <c r="B3" s="72">
        <v>9213</v>
      </c>
      <c r="C3" s="71">
        <v>5</v>
      </c>
      <c r="D3" s="1"/>
    </row>
    <row r="4" spans="1:4">
      <c r="A4" s="71">
        <v>1960</v>
      </c>
      <c r="B4" s="72">
        <v>9733</v>
      </c>
      <c r="C4" s="71">
        <v>5.6</v>
      </c>
      <c r="D4" s="1"/>
    </row>
    <row r="5" spans="1:4">
      <c r="A5" s="71">
        <v>1961</v>
      </c>
      <c r="B5" s="72">
        <v>10413</v>
      </c>
      <c r="C5" s="71">
        <v>7</v>
      </c>
      <c r="D5" s="1"/>
    </row>
    <row r="6" spans="1:4">
      <c r="A6" s="71">
        <v>1962</v>
      </c>
      <c r="B6" s="72">
        <v>11500</v>
      </c>
      <c r="C6" s="71">
        <v>10.4</v>
      </c>
      <c r="D6" s="1"/>
    </row>
    <row r="7" spans="1:4">
      <c r="A7" s="71">
        <v>1963</v>
      </c>
      <c r="B7" s="72">
        <v>12728</v>
      </c>
      <c r="C7" s="71">
        <v>10.7</v>
      </c>
      <c r="D7" s="1"/>
    </row>
    <row r="8" spans="1:4">
      <c r="A8" s="71">
        <v>1964</v>
      </c>
      <c r="B8" s="72">
        <v>14325</v>
      </c>
      <c r="C8" s="71">
        <v>12.5</v>
      </c>
      <c r="D8" s="1"/>
    </row>
    <row r="9" spans="1:4">
      <c r="A9" s="71">
        <v>1965</v>
      </c>
      <c r="B9" s="72">
        <v>16340</v>
      </c>
      <c r="C9" s="71">
        <v>14.1</v>
      </c>
      <c r="D9" s="1"/>
    </row>
    <row r="10" spans="1:4">
      <c r="A10" s="71">
        <v>1966</v>
      </c>
      <c r="B10" s="72">
        <v>17949</v>
      </c>
      <c r="C10" s="71">
        <v>9.8000000000000007</v>
      </c>
      <c r="D10" s="1"/>
    </row>
    <row r="11" spans="1:4">
      <c r="A11" s="71">
        <v>1967</v>
      </c>
      <c r="B11" s="72">
        <v>20403</v>
      </c>
      <c r="C11" s="71">
        <v>13.7</v>
      </c>
      <c r="D11" s="1"/>
    </row>
    <row r="12" spans="1:4">
      <c r="A12" s="71">
        <v>1968</v>
      </c>
      <c r="B12" s="72">
        <v>22937</v>
      </c>
      <c r="C12" s="71">
        <v>12.4</v>
      </c>
    </row>
    <row r="13" spans="1:4">
      <c r="A13" s="71">
        <v>1969</v>
      </c>
      <c r="B13" s="72">
        <v>25743</v>
      </c>
      <c r="C13" s="71">
        <v>12.2</v>
      </c>
    </row>
    <row r="14" spans="1:4">
      <c r="A14" s="71">
        <v>1970</v>
      </c>
      <c r="B14" s="72">
        <v>29498</v>
      </c>
      <c r="C14" s="71">
        <v>14.6</v>
      </c>
    </row>
    <row r="15" spans="1:4">
      <c r="A15" s="71">
        <v>1971</v>
      </c>
      <c r="B15" s="72">
        <v>31867</v>
      </c>
      <c r="C15" s="71">
        <v>8</v>
      </c>
    </row>
    <row r="16" spans="1:4">
      <c r="A16" s="71">
        <v>1972</v>
      </c>
      <c r="B16" s="72">
        <v>33041</v>
      </c>
      <c r="C16" s="71">
        <v>3.7</v>
      </c>
    </row>
    <row r="17" spans="1:3">
      <c r="A17" s="71">
        <v>1973</v>
      </c>
      <c r="B17" s="72">
        <v>33755</v>
      </c>
      <c r="C17" s="71">
        <v>2.2000000000000002</v>
      </c>
    </row>
    <row r="18" spans="1:3">
      <c r="A18" s="71">
        <v>1974</v>
      </c>
      <c r="B18" s="72">
        <v>33047</v>
      </c>
      <c r="C18" s="71">
        <v>-2.1</v>
      </c>
    </row>
    <row r="19" spans="1:3">
      <c r="A19" s="71">
        <v>1975</v>
      </c>
      <c r="B19" s="72">
        <v>32952</v>
      </c>
      <c r="C19" s="71">
        <v>-0.3</v>
      </c>
    </row>
    <row r="20" spans="1:3">
      <c r="A20" s="71">
        <v>1976</v>
      </c>
      <c r="B20" s="72">
        <v>32946</v>
      </c>
      <c r="C20" s="71" t="s">
        <v>408</v>
      </c>
    </row>
    <row r="21" spans="1:3">
      <c r="A21" s="71">
        <v>1977</v>
      </c>
      <c r="B21" s="72">
        <v>31716</v>
      </c>
      <c r="C21" s="71">
        <v>-3.7</v>
      </c>
    </row>
    <row r="22" spans="1:3">
      <c r="A22" s="71">
        <v>1978</v>
      </c>
      <c r="B22" s="72">
        <v>30875</v>
      </c>
      <c r="C22" s="71">
        <v>-2.7</v>
      </c>
    </row>
    <row r="23" spans="1:3">
      <c r="A23" s="71">
        <v>1979</v>
      </c>
      <c r="B23" s="72">
        <v>31238</v>
      </c>
      <c r="C23" s="71">
        <v>1.2</v>
      </c>
    </row>
    <row r="24" spans="1:3">
      <c r="A24" s="71">
        <v>1980</v>
      </c>
      <c r="B24" s="72">
        <v>31019</v>
      </c>
      <c r="C24" s="71">
        <v>-0.7</v>
      </c>
    </row>
    <row r="25" spans="1:3">
      <c r="A25" s="71">
        <v>1981</v>
      </c>
      <c r="B25" s="72">
        <v>31355</v>
      </c>
      <c r="C25" s="71">
        <v>1.1000000000000001</v>
      </c>
    </row>
    <row r="26" spans="1:3">
      <c r="A26" s="71">
        <v>1982</v>
      </c>
      <c r="B26" s="72">
        <v>31108</v>
      </c>
      <c r="C26" s="71">
        <v>-0.8</v>
      </c>
    </row>
    <row r="27" spans="1:3">
      <c r="A27" s="71">
        <v>1983</v>
      </c>
      <c r="B27" s="72">
        <v>31280</v>
      </c>
      <c r="C27" s="71">
        <v>0.6</v>
      </c>
    </row>
    <row r="28" spans="1:3">
      <c r="A28" s="71">
        <v>1984</v>
      </c>
      <c r="B28" s="72">
        <v>31334</v>
      </c>
      <c r="C28" s="71">
        <v>0.2</v>
      </c>
    </row>
    <row r="29" spans="1:3">
      <c r="A29" s="71">
        <v>1985</v>
      </c>
      <c r="B29" s="72">
        <v>31295</v>
      </c>
      <c r="C29" s="71">
        <v>-0.1</v>
      </c>
    </row>
    <row r="30" spans="1:3">
      <c r="A30" s="71">
        <v>1986</v>
      </c>
      <c r="B30" s="72">
        <v>31897</v>
      </c>
      <c r="C30" s="71">
        <v>1.9</v>
      </c>
    </row>
    <row r="31" spans="1:3">
      <c r="A31" s="71">
        <v>1987</v>
      </c>
      <c r="B31" s="72">
        <v>32365</v>
      </c>
      <c r="C31" s="71">
        <v>1.5</v>
      </c>
    </row>
    <row r="32" spans="1:3">
      <c r="A32" s="71">
        <v>1988</v>
      </c>
      <c r="B32" s="72">
        <v>33497</v>
      </c>
      <c r="C32" s="71">
        <v>3.5</v>
      </c>
    </row>
    <row r="33" spans="1:3">
      <c r="A33" s="71">
        <v>1989</v>
      </c>
      <c r="B33" s="72">
        <v>34325</v>
      </c>
      <c r="C33" s="71">
        <v>2.5</v>
      </c>
    </row>
    <row r="34" spans="1:3">
      <c r="A34" s="71">
        <v>1990</v>
      </c>
      <c r="B34" s="72">
        <v>36065</v>
      </c>
      <c r="C34" s="71">
        <v>5.0999999999999996</v>
      </c>
    </row>
    <row r="35" spans="1:3">
      <c r="A35" s="71">
        <v>1991</v>
      </c>
      <c r="B35" s="72">
        <v>37530</v>
      </c>
      <c r="C35" s="71">
        <v>4.0999999999999996</v>
      </c>
    </row>
    <row r="36" spans="1:3">
      <c r="A36" s="71">
        <v>1992</v>
      </c>
      <c r="B36" s="72">
        <v>38886</v>
      </c>
      <c r="C36" s="71">
        <v>3.6</v>
      </c>
    </row>
    <row r="37" spans="1:3">
      <c r="A37" s="71">
        <v>1993</v>
      </c>
      <c r="B37" s="72">
        <v>39800</v>
      </c>
      <c r="C37" s="71">
        <v>2.4</v>
      </c>
    </row>
    <row r="38" spans="1:3">
      <c r="A38" s="71">
        <v>1994</v>
      </c>
      <c r="B38" s="72">
        <v>41034</v>
      </c>
      <c r="C38" s="71">
        <v>3.1</v>
      </c>
    </row>
    <row r="39" spans="1:3">
      <c r="A39" s="71">
        <v>1995</v>
      </c>
      <c r="B39" s="72">
        <v>41747</v>
      </c>
      <c r="C39" s="71">
        <v>1.7</v>
      </c>
    </row>
    <row r="40" spans="1:3">
      <c r="A40" s="71">
        <v>1996</v>
      </c>
      <c r="B40" s="72">
        <v>42437</v>
      </c>
      <c r="C40" s="71">
        <v>1.7</v>
      </c>
    </row>
    <row r="41" spans="1:3">
      <c r="A41" s="71">
        <v>1997</v>
      </c>
      <c r="B41" s="72">
        <v>42539</v>
      </c>
      <c r="C41" s="71">
        <v>0.2</v>
      </c>
    </row>
    <row r="42" spans="1:3">
      <c r="A42" s="71">
        <v>1998</v>
      </c>
      <c r="B42" s="72">
        <v>42636</v>
      </c>
      <c r="C42" s="71">
        <v>0.2</v>
      </c>
    </row>
    <row r="43" spans="1:3">
      <c r="A43" s="71">
        <v>1999</v>
      </c>
      <c r="B43" s="72">
        <v>41101</v>
      </c>
      <c r="C43" s="71">
        <v>-3.6</v>
      </c>
    </row>
    <row r="44" spans="1:3">
      <c r="A44" s="71">
        <v>2000</v>
      </c>
      <c r="B44" s="72">
        <v>41369</v>
      </c>
      <c r="C44" s="71">
        <v>0.7</v>
      </c>
    </row>
    <row r="45" spans="1:3">
      <c r="A45" s="71">
        <v>2001</v>
      </c>
      <c r="B45" s="72">
        <v>40744</v>
      </c>
      <c r="C45" s="71">
        <v>-1.5</v>
      </c>
    </row>
    <row r="46" spans="1:3">
      <c r="A46" s="71">
        <v>2002</v>
      </c>
      <c r="B46" s="72">
        <v>40031</v>
      </c>
      <c r="C46" s="71">
        <v>-1.7</v>
      </c>
    </row>
    <row r="47" spans="1:3">
      <c r="A47" s="71">
        <v>2003</v>
      </c>
      <c r="B47" s="72">
        <v>40762</v>
      </c>
      <c r="C47" s="71">
        <v>1.8</v>
      </c>
    </row>
    <row r="48" spans="1:3">
      <c r="A48" s="71">
        <v>2004</v>
      </c>
      <c r="B48" s="72">
        <v>42122</v>
      </c>
      <c r="C48" s="71">
        <v>3.3</v>
      </c>
    </row>
    <row r="49" spans="1:3">
      <c r="A49" s="71">
        <v>2005</v>
      </c>
      <c r="B49" s="72">
        <v>43385</v>
      </c>
      <c r="C49" s="71">
        <v>3</v>
      </c>
    </row>
    <row r="50" spans="1:3">
      <c r="A50" s="71">
        <v>2006</v>
      </c>
      <c r="B50" s="72">
        <v>45620</v>
      </c>
      <c r="C50" s="71">
        <v>5.2</v>
      </c>
    </row>
    <row r="51" spans="1:3">
      <c r="A51" s="71">
        <v>2007</v>
      </c>
      <c r="B51" s="72">
        <v>48132</v>
      </c>
      <c r="C51" s="71">
        <v>5.5</v>
      </c>
    </row>
    <row r="52" spans="1:3">
      <c r="A52" s="71">
        <v>2008</v>
      </c>
      <c r="B52" s="72">
        <v>48776</v>
      </c>
      <c r="C52" s="71">
        <v>1.3</v>
      </c>
    </row>
    <row r="53" spans="1:3">
      <c r="A53" s="71">
        <v>2009</v>
      </c>
      <c r="B53" s="72">
        <v>49552</v>
      </c>
      <c r="C53" s="71">
        <v>1.6</v>
      </c>
    </row>
    <row r="54" spans="1:3">
      <c r="A54" s="71">
        <v>2010</v>
      </c>
      <c r="B54" s="72">
        <v>48028</v>
      </c>
      <c r="C54" s="71">
        <v>-3.1</v>
      </c>
    </row>
    <row r="55" spans="1:3">
      <c r="A55" s="71">
        <v>2011</v>
      </c>
      <c r="B55" s="72">
        <v>48909</v>
      </c>
      <c r="C55" s="71">
        <v>1.8</v>
      </c>
    </row>
    <row r="56" spans="1:3">
      <c r="A56" s="71">
        <v>2012</v>
      </c>
      <c r="B56" s="72">
        <v>50943</v>
      </c>
      <c r="C56" s="71">
        <v>4.2</v>
      </c>
    </row>
    <row r="57" spans="1:3">
      <c r="A57" s="71">
        <v>2013</v>
      </c>
      <c r="B57" s="72">
        <v>52703</v>
      </c>
      <c r="C57" s="71">
        <v>3.5</v>
      </c>
    </row>
    <row r="58" spans="1:3">
      <c r="A58" s="71">
        <v>2014</v>
      </c>
      <c r="B58" s="72">
        <v>53986</v>
      </c>
      <c r="C58" s="71">
        <v>2.4</v>
      </c>
    </row>
    <row r="59" spans="1:3">
      <c r="A59" s="71">
        <v>2015</v>
      </c>
      <c r="B59" s="72">
        <v>54886</v>
      </c>
      <c r="C59" s="71">
        <v>1.7</v>
      </c>
    </row>
    <row r="60" spans="1:3">
      <c r="A60" s="71">
        <v>2016</v>
      </c>
      <c r="B60" s="72">
        <v>54809</v>
      </c>
      <c r="C60" s="71">
        <v>-0.1</v>
      </c>
    </row>
    <row r="61" spans="1:3">
      <c r="A61" s="71">
        <v>2017</v>
      </c>
      <c r="B61" s="72">
        <v>54550</v>
      </c>
      <c r="C61" s="71">
        <v>-0.5</v>
      </c>
    </row>
    <row r="62" spans="1:3">
      <c r="A62" s="71">
        <v>2018</v>
      </c>
      <c r="B62" s="72">
        <v>55077</v>
      </c>
      <c r="C62" s="71">
        <v>1</v>
      </c>
    </row>
    <row r="63" spans="1:3">
      <c r="A63" s="71">
        <v>2019</v>
      </c>
      <c r="B63" s="72">
        <v>55598</v>
      </c>
      <c r="C63" s="71">
        <v>0.9</v>
      </c>
    </row>
    <row r="64" spans="1:3">
      <c r="A64" s="71">
        <v>2020</v>
      </c>
      <c r="B64" s="72">
        <v>55200</v>
      </c>
      <c r="C64" s="71">
        <v>-0.7</v>
      </c>
    </row>
    <row r="65" spans="1:3">
      <c r="A65" s="71">
        <v>2021</v>
      </c>
      <c r="B65" s="72">
        <v>52159</v>
      </c>
      <c r="C65" s="71">
        <v>-5.5</v>
      </c>
    </row>
    <row r="66" spans="1:3">
      <c r="A66" s="71">
        <v>2022</v>
      </c>
      <c r="B66" s="72">
        <v>57439</v>
      </c>
      <c r="C66" s="71">
        <v>10.1</v>
      </c>
    </row>
    <row r="67" spans="1:3">
      <c r="A67" s="71">
        <v>2023</v>
      </c>
      <c r="B67" s="72">
        <v>57806</v>
      </c>
      <c r="C67" s="71">
        <v>0.6</v>
      </c>
    </row>
    <row r="68" spans="1:3">
      <c r="A68" s="71">
        <v>2024</v>
      </c>
      <c r="B68" s="72">
        <v>58131</v>
      </c>
      <c r="C68" s="71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J12"/>
  <sheetViews>
    <sheetView workbookViewId="0"/>
  </sheetViews>
  <sheetFormatPr baseColWidth="10" defaultColWidth="8.83203125" defaultRowHeight="15"/>
  <cols>
    <col min="15" max="15" width="8.83203125" customWidth="1"/>
  </cols>
  <sheetData>
    <row r="1" spans="1:10">
      <c r="A1" t="s">
        <v>0</v>
      </c>
      <c r="B1" t="s">
        <v>381</v>
      </c>
      <c r="C1" t="s">
        <v>382</v>
      </c>
      <c r="D1" t="s">
        <v>355</v>
      </c>
      <c r="E1" t="s">
        <v>384</v>
      </c>
      <c r="F1" t="s">
        <v>385</v>
      </c>
      <c r="G1" t="s">
        <v>386</v>
      </c>
      <c r="H1" t="s">
        <v>387</v>
      </c>
      <c r="I1" t="s">
        <v>357</v>
      </c>
      <c r="J1" t="s">
        <v>388</v>
      </c>
    </row>
    <row r="2" spans="1:10">
      <c r="A2">
        <v>2014</v>
      </c>
      <c r="B2">
        <v>8868</v>
      </c>
      <c r="C2">
        <v>1988</v>
      </c>
      <c r="D2">
        <v>9626</v>
      </c>
      <c r="E2">
        <v>1098</v>
      </c>
      <c r="F2">
        <v>2236</v>
      </c>
      <c r="G2">
        <v>1874</v>
      </c>
      <c r="H2">
        <v>4812</v>
      </c>
      <c r="I2">
        <v>3724</v>
      </c>
      <c r="J2">
        <v>5102</v>
      </c>
    </row>
    <row r="3" spans="1:10">
      <c r="A3">
        <v>2015</v>
      </c>
      <c r="B3">
        <v>8783</v>
      </c>
      <c r="C3">
        <v>2003</v>
      </c>
      <c r="D3">
        <v>9875</v>
      </c>
      <c r="E3">
        <v>1057</v>
      </c>
      <c r="F3">
        <v>2220</v>
      </c>
      <c r="G3">
        <v>1815</v>
      </c>
      <c r="H3">
        <v>4859</v>
      </c>
      <c r="I3">
        <v>3776</v>
      </c>
      <c r="J3">
        <v>5369</v>
      </c>
    </row>
    <row r="4" spans="1:10">
      <c r="A4">
        <v>2016</v>
      </c>
      <c r="B4">
        <v>8863</v>
      </c>
      <c r="C4">
        <v>2082</v>
      </c>
      <c r="D4">
        <v>9459</v>
      </c>
      <c r="E4">
        <v>1227</v>
      </c>
      <c r="F4">
        <v>2248</v>
      </c>
      <c r="G4">
        <v>1872</v>
      </c>
      <c r="H4">
        <v>5024</v>
      </c>
      <c r="I4">
        <v>3910</v>
      </c>
      <c r="J4">
        <v>5193</v>
      </c>
    </row>
    <row r="5" spans="1:10">
      <c r="A5">
        <v>2017</v>
      </c>
      <c r="B5">
        <v>8567</v>
      </c>
      <c r="C5">
        <v>1998</v>
      </c>
      <c r="D5">
        <v>9774</v>
      </c>
      <c r="E5">
        <v>1169</v>
      </c>
      <c r="F5">
        <v>2443</v>
      </c>
      <c r="G5">
        <v>1844</v>
      </c>
      <c r="H5">
        <v>4913</v>
      </c>
      <c r="I5">
        <v>3925</v>
      </c>
      <c r="J5">
        <v>5188</v>
      </c>
    </row>
    <row r="6" spans="1:10">
      <c r="A6">
        <v>2018</v>
      </c>
      <c r="B6">
        <v>8782</v>
      </c>
      <c r="C6">
        <v>2000</v>
      </c>
      <c r="D6">
        <v>10164</v>
      </c>
      <c r="E6">
        <v>1185</v>
      </c>
      <c r="F6">
        <v>2473</v>
      </c>
      <c r="G6">
        <v>2022</v>
      </c>
      <c r="H6">
        <v>5144</v>
      </c>
      <c r="I6">
        <v>3821</v>
      </c>
      <c r="J6">
        <v>5054</v>
      </c>
    </row>
    <row r="7" spans="1:10">
      <c r="A7">
        <v>2019</v>
      </c>
      <c r="B7">
        <v>8678</v>
      </c>
      <c r="C7">
        <v>2220</v>
      </c>
      <c r="D7">
        <v>10298</v>
      </c>
      <c r="E7">
        <v>1272</v>
      </c>
      <c r="F7">
        <v>2532</v>
      </c>
      <c r="G7">
        <v>2010</v>
      </c>
      <c r="H7">
        <v>5306</v>
      </c>
      <c r="I7">
        <v>3909</v>
      </c>
      <c r="J7">
        <v>5134</v>
      </c>
    </row>
    <row r="8" spans="1:10">
      <c r="A8">
        <v>2020</v>
      </c>
      <c r="B8">
        <v>8403</v>
      </c>
      <c r="C8">
        <v>2363</v>
      </c>
      <c r="D8">
        <v>10468</v>
      </c>
      <c r="E8">
        <v>1241</v>
      </c>
      <c r="F8">
        <v>2606</v>
      </c>
      <c r="G8">
        <v>2024</v>
      </c>
      <c r="H8">
        <v>5000</v>
      </c>
      <c r="I8">
        <v>3865</v>
      </c>
      <c r="J8">
        <v>5060</v>
      </c>
    </row>
    <row r="9" spans="1:10">
      <c r="A9">
        <v>2021</v>
      </c>
      <c r="B9">
        <v>8131</v>
      </c>
      <c r="C9">
        <v>2360</v>
      </c>
      <c r="D9">
        <v>10230</v>
      </c>
      <c r="E9">
        <v>1064</v>
      </c>
      <c r="F9">
        <v>2249</v>
      </c>
      <c r="G9">
        <v>2010</v>
      </c>
      <c r="H9">
        <v>4710</v>
      </c>
      <c r="I9">
        <v>3777</v>
      </c>
      <c r="J9">
        <v>4875</v>
      </c>
    </row>
    <row r="10" spans="1:10">
      <c r="A10">
        <v>2022</v>
      </c>
      <c r="B10">
        <v>9206</v>
      </c>
      <c r="C10">
        <v>2607</v>
      </c>
      <c r="D10">
        <v>11516</v>
      </c>
      <c r="E10">
        <v>1181</v>
      </c>
      <c r="F10">
        <v>2472</v>
      </c>
      <c r="G10">
        <v>2247</v>
      </c>
      <c r="H10">
        <v>5467</v>
      </c>
      <c r="I10">
        <v>3952</v>
      </c>
      <c r="J10">
        <v>5236</v>
      </c>
    </row>
    <row r="11" spans="1:10">
      <c r="A11">
        <v>2023</v>
      </c>
      <c r="B11">
        <v>9566</v>
      </c>
      <c r="C11">
        <v>2686</v>
      </c>
      <c r="D11">
        <v>11398</v>
      </c>
      <c r="E11">
        <v>1231</v>
      </c>
      <c r="F11">
        <v>2435</v>
      </c>
      <c r="G11">
        <v>2165</v>
      </c>
      <c r="H11">
        <v>5456</v>
      </c>
      <c r="I11">
        <v>3883</v>
      </c>
      <c r="J11">
        <v>5196</v>
      </c>
    </row>
    <row r="12" spans="1:10">
      <c r="A12">
        <v>2024</v>
      </c>
      <c r="B12">
        <v>9700</v>
      </c>
      <c r="C12">
        <v>2982</v>
      </c>
      <c r="D12">
        <v>11169</v>
      </c>
      <c r="E12">
        <v>1229</v>
      </c>
      <c r="F12">
        <v>2509</v>
      </c>
      <c r="G12">
        <v>2093</v>
      </c>
      <c r="H12">
        <v>5401</v>
      </c>
      <c r="I12">
        <v>4083</v>
      </c>
      <c r="J12">
        <v>5285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workbookViewId="0">
      <selection activeCell="F20" sqref="F20"/>
    </sheetView>
  </sheetViews>
  <sheetFormatPr baseColWidth="10" defaultColWidth="8.83203125" defaultRowHeight="15"/>
  <sheetData>
    <row r="1" spans="1:4">
      <c r="A1" s="1" t="s">
        <v>0</v>
      </c>
      <c r="B1" s="1" t="s">
        <v>14</v>
      </c>
      <c r="C1" s="1" t="s">
        <v>15</v>
      </c>
      <c r="D1" s="1" t="s">
        <v>16</v>
      </c>
    </row>
    <row r="2" spans="1:4">
      <c r="A2" s="1">
        <v>1995</v>
      </c>
      <c r="B2" s="103">
        <v>3.9600000000000003E-2</v>
      </c>
      <c r="C2" s="103">
        <v>0.219</v>
      </c>
      <c r="D2" s="103">
        <v>0.1651</v>
      </c>
    </row>
    <row r="3" spans="1:4">
      <c r="A3" s="1">
        <v>1996</v>
      </c>
      <c r="B3" s="103">
        <v>3.8399999999999997E-2</v>
      </c>
      <c r="C3" s="103">
        <v>0.20419999999999999</v>
      </c>
      <c r="D3" s="103">
        <v>0.17130000000000001</v>
      </c>
    </row>
    <row r="4" spans="1:4">
      <c r="A4" s="1">
        <v>1997</v>
      </c>
      <c r="B4" s="103">
        <v>3.78E-2</v>
      </c>
      <c r="C4" s="103">
        <v>0.2006</v>
      </c>
      <c r="D4" s="103">
        <v>0.1666</v>
      </c>
    </row>
    <row r="5" spans="1:4">
      <c r="A5" s="1">
        <v>1998</v>
      </c>
      <c r="B5" s="103">
        <v>3.6799999999999999E-2</v>
      </c>
      <c r="C5" s="103">
        <v>0.20200000000000001</v>
      </c>
      <c r="D5" s="103">
        <v>0.1636</v>
      </c>
    </row>
    <row r="6" spans="1:4">
      <c r="A6" s="1">
        <v>1999</v>
      </c>
      <c r="B6" s="103">
        <v>3.6499999999999998E-2</v>
      </c>
      <c r="C6" s="103">
        <v>0.2046</v>
      </c>
      <c r="D6" s="103">
        <v>0.15310000000000001</v>
      </c>
    </row>
    <row r="7" spans="1:4">
      <c r="A7" s="1">
        <v>2000</v>
      </c>
      <c r="B7" s="103">
        <v>3.7600000000000001E-2</v>
      </c>
      <c r="C7" s="103">
        <v>0.21729999999999999</v>
      </c>
      <c r="D7" s="103">
        <v>0.1489</v>
      </c>
    </row>
    <row r="8" spans="1:4">
      <c r="A8" s="1">
        <v>2001</v>
      </c>
      <c r="B8" s="103">
        <v>4.0599999999999997E-2</v>
      </c>
      <c r="C8" s="103">
        <v>0.23480000000000001</v>
      </c>
      <c r="D8" s="103">
        <v>0.1555</v>
      </c>
    </row>
    <row r="9" spans="1:4">
      <c r="A9" s="1">
        <v>2002</v>
      </c>
      <c r="B9" s="103">
        <v>3.9899999999999998E-2</v>
      </c>
      <c r="C9" s="103">
        <v>0.2331</v>
      </c>
      <c r="D9" s="103">
        <v>0.14910000000000001</v>
      </c>
    </row>
    <row r="10" spans="1:4">
      <c r="A10" s="1">
        <v>2003</v>
      </c>
      <c r="B10" s="103">
        <v>4.2099999999999999E-2</v>
      </c>
      <c r="C10" s="103">
        <v>0.25740000000000002</v>
      </c>
      <c r="D10" s="103">
        <v>0.15190000000000001</v>
      </c>
    </row>
    <row r="11" spans="1:4">
      <c r="A11" s="1">
        <v>2004</v>
      </c>
      <c r="B11" s="103">
        <v>4.3099999999999999E-2</v>
      </c>
      <c r="C11" s="103">
        <v>0.26429999999999998</v>
      </c>
      <c r="D11" s="103">
        <v>0.15759999999999999</v>
      </c>
    </row>
    <row r="12" spans="1:4">
      <c r="A12">
        <v>2005</v>
      </c>
      <c r="B12" s="26">
        <v>4.19E-2</v>
      </c>
      <c r="C12" s="26">
        <v>0.2447</v>
      </c>
      <c r="D12" s="26">
        <v>0.16819999999999999</v>
      </c>
    </row>
    <row r="13" spans="1:4">
      <c r="A13">
        <v>2006</v>
      </c>
      <c r="B13" s="26">
        <v>3.9199999999999999E-2</v>
      </c>
      <c r="C13" s="26">
        <v>0.22389999999999999</v>
      </c>
      <c r="D13" s="26">
        <v>0.17929999999999999</v>
      </c>
    </row>
    <row r="14" spans="1:4">
      <c r="A14">
        <v>2007</v>
      </c>
      <c r="B14" s="26">
        <v>3.6499999999999998E-2</v>
      </c>
      <c r="C14" s="26">
        <v>0.20480000000000001</v>
      </c>
      <c r="D14" s="26">
        <v>0.18129999999999999</v>
      </c>
    </row>
    <row r="15" spans="1:4">
      <c r="A15">
        <v>2008</v>
      </c>
      <c r="B15" s="26">
        <v>3.27E-2</v>
      </c>
      <c r="C15" s="26">
        <v>0.21659999999999999</v>
      </c>
      <c r="D15" s="26">
        <v>0.17319999999999999</v>
      </c>
    </row>
    <row r="16" spans="1:4">
      <c r="A16">
        <v>2009</v>
      </c>
      <c r="B16" s="26">
        <v>3.2800000000000003E-2</v>
      </c>
      <c r="C16" s="26">
        <v>0.2291</v>
      </c>
      <c r="D16" s="26">
        <v>0.15890000000000001</v>
      </c>
    </row>
    <row r="17" spans="1:4">
      <c r="A17">
        <v>2010</v>
      </c>
      <c r="B17" s="26">
        <v>3.3099999999999997E-2</v>
      </c>
      <c r="C17" s="26">
        <v>0.22009999999999999</v>
      </c>
      <c r="D17" s="26">
        <v>0.14979999999999999</v>
      </c>
    </row>
    <row r="18" spans="1:4">
      <c r="A18">
        <v>2011</v>
      </c>
      <c r="B18" s="26">
        <v>3.44E-2</v>
      </c>
      <c r="C18" s="26">
        <v>0.21859999999999999</v>
      </c>
      <c r="D18" s="26">
        <v>0.15029999999999999</v>
      </c>
    </row>
    <row r="19" spans="1:4">
      <c r="A19">
        <v>2012</v>
      </c>
      <c r="B19" s="26">
        <v>3.6400000000000002E-2</v>
      </c>
      <c r="C19" s="26">
        <v>0.20930000000000001</v>
      </c>
      <c r="D19" s="26">
        <v>0.1522</v>
      </c>
    </row>
    <row r="20" spans="1:4">
      <c r="A20">
        <v>2013</v>
      </c>
      <c r="B20" s="26">
        <v>3.6900000000000002E-2</v>
      </c>
      <c r="C20" s="26">
        <v>0.20849999999999999</v>
      </c>
      <c r="D20" s="26">
        <v>0.15340000000000001</v>
      </c>
    </row>
    <row r="21" spans="1:4">
      <c r="A21">
        <v>2014</v>
      </c>
      <c r="B21" s="26">
        <v>3.7600000000000001E-2</v>
      </c>
      <c r="C21" s="26">
        <v>0.21690000000000001</v>
      </c>
      <c r="D21" s="26">
        <v>0.1552</v>
      </c>
    </row>
    <row r="22" spans="1:4">
      <c r="A22">
        <v>2015</v>
      </c>
      <c r="B22" s="26">
        <v>3.9600000000000003E-2</v>
      </c>
      <c r="C22" s="26">
        <v>0.25159999999999999</v>
      </c>
      <c r="D22" s="26">
        <v>0.15160000000000001</v>
      </c>
    </row>
    <row r="23" spans="1:4">
      <c r="A23">
        <v>2016</v>
      </c>
      <c r="B23" s="26">
        <v>4.3499999999999997E-2</v>
      </c>
      <c r="C23" s="26">
        <v>0.29010000000000002</v>
      </c>
      <c r="D23" s="26">
        <v>0.14749999999999999</v>
      </c>
    </row>
    <row r="24" spans="1:4">
      <c r="A24">
        <v>2017</v>
      </c>
      <c r="B24" s="26">
        <v>4.8099999999999997E-2</v>
      </c>
      <c r="C24" s="26">
        <v>0.29880000000000001</v>
      </c>
      <c r="D24" s="26">
        <v>0.14560000000000001</v>
      </c>
    </row>
    <row r="25" spans="1:4">
      <c r="A25">
        <v>2018</v>
      </c>
      <c r="B25" s="26">
        <v>5.2600000000000001E-2</v>
      </c>
      <c r="C25" s="26">
        <v>0.28520000000000001</v>
      </c>
      <c r="D25" s="26">
        <v>0.14710000000000001</v>
      </c>
    </row>
    <row r="26" spans="1:4">
      <c r="A26">
        <v>2019</v>
      </c>
      <c r="B26" s="26">
        <v>5.4800000000000001E-2</v>
      </c>
      <c r="C26" s="26">
        <v>0.25679999999999997</v>
      </c>
      <c r="D26" s="26">
        <v>0.1472</v>
      </c>
    </row>
    <row r="27" spans="1:4">
      <c r="A27">
        <v>2020</v>
      </c>
      <c r="B27" s="26">
        <v>5.7000000000000002E-2</v>
      </c>
      <c r="C27" s="26">
        <v>0.25209999999999999</v>
      </c>
      <c r="D27" s="26">
        <v>0.14649999999999999</v>
      </c>
    </row>
    <row r="28" spans="1:4">
      <c r="A28">
        <v>2021</v>
      </c>
      <c r="B28" s="26">
        <v>5.4899999999999997E-2</v>
      </c>
      <c r="C28" s="26">
        <v>0.23830000000000001</v>
      </c>
      <c r="D28" s="26">
        <v>0.13969999999999999</v>
      </c>
    </row>
    <row r="29" spans="1:4">
      <c r="A29">
        <v>2022</v>
      </c>
      <c r="B29" s="26">
        <v>5.1900000000000002E-2</v>
      </c>
      <c r="C29" s="26">
        <v>0.19070000000000001</v>
      </c>
      <c r="D29" s="26">
        <v>0.14449999999999999</v>
      </c>
    </row>
    <row r="30" spans="1:4">
      <c r="A30">
        <v>2023</v>
      </c>
      <c r="B30" s="26">
        <v>4.9099999999999998E-2</v>
      </c>
      <c r="C30" s="26">
        <v>0.2772</v>
      </c>
      <c r="D30" s="26">
        <v>0.1399</v>
      </c>
    </row>
    <row r="31" spans="1:4">
      <c r="A31">
        <v>2024</v>
      </c>
      <c r="B31" s="26">
        <v>4.4400000000000002E-2</v>
      </c>
      <c r="C31" s="26">
        <v>0.31730000000000003</v>
      </c>
      <c r="D31" s="26">
        <v>0.1361</v>
      </c>
    </row>
    <row r="36" spans="1:15">
      <c r="A36" s="1"/>
      <c r="E36" s="1"/>
      <c r="F36" s="1"/>
      <c r="G36" s="1"/>
      <c r="H36" s="1"/>
      <c r="I36" s="1"/>
      <c r="J36" s="1"/>
    </row>
    <row r="37" spans="1:15">
      <c r="A37" s="102"/>
      <c r="E37" s="102"/>
      <c r="F37" s="102"/>
      <c r="G37" s="102"/>
      <c r="H37" s="102"/>
      <c r="I37" s="102"/>
      <c r="J37" s="102"/>
      <c r="K37" s="92"/>
      <c r="L37" s="92"/>
      <c r="M37" s="92"/>
      <c r="N37" s="92"/>
      <c r="O37" s="92"/>
    </row>
    <row r="38" spans="1:15">
      <c r="A38" s="102"/>
      <c r="E38" s="102"/>
      <c r="F38" s="102"/>
      <c r="G38" s="102"/>
      <c r="H38" s="102"/>
      <c r="I38" s="102"/>
      <c r="J38" s="102"/>
      <c r="K38" s="92"/>
      <c r="L38" s="92"/>
      <c r="M38" s="92"/>
      <c r="N38" s="92"/>
      <c r="O38" s="92"/>
    </row>
    <row r="39" spans="1:15">
      <c r="A39" s="102"/>
      <c r="E39" s="102"/>
      <c r="F39" s="102"/>
      <c r="G39" s="102"/>
      <c r="H39" s="102"/>
      <c r="I39" s="102"/>
      <c r="J39" s="102"/>
      <c r="K39" s="92"/>
      <c r="L39" s="92"/>
      <c r="M39" s="92"/>
      <c r="N39" s="92"/>
      <c r="O39" s="92"/>
    </row>
    <row r="42" spans="1:15">
      <c r="A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spans="1:15">
      <c r="A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  <row r="44" spans="1:15">
      <c r="A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D11"/>
  <sheetViews>
    <sheetView zoomScale="125" workbookViewId="0">
      <selection activeCell="B3" sqref="B3"/>
    </sheetView>
  </sheetViews>
  <sheetFormatPr baseColWidth="10" defaultColWidth="8.83203125" defaultRowHeight="15"/>
  <sheetData>
    <row r="1" spans="1:4">
      <c r="A1" s="1"/>
      <c r="B1" s="1"/>
      <c r="C1" s="1"/>
      <c r="D1" s="1"/>
    </row>
    <row r="2" spans="1:4">
      <c r="A2" s="1"/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M41"/>
  <sheetViews>
    <sheetView zoomScale="75" workbookViewId="0">
      <selection activeCell="N60" sqref="N60"/>
    </sheetView>
  </sheetViews>
  <sheetFormatPr baseColWidth="10" defaultColWidth="8.83203125" defaultRowHeight="15"/>
  <cols>
    <col min="5" max="5" width="10.1640625" bestFit="1" customWidth="1"/>
    <col min="11" max="11" width="10.1640625" bestFit="1" customWidth="1"/>
    <col min="13" max="13" width="10.1640625" bestFit="1" customWidth="1"/>
  </cols>
  <sheetData>
    <row r="1" spans="1:13">
      <c r="A1" t="s">
        <v>0</v>
      </c>
      <c r="B1" t="s">
        <v>30</v>
      </c>
      <c r="C1" t="s">
        <v>375</v>
      </c>
      <c r="D1" t="s">
        <v>68</v>
      </c>
      <c r="E1" t="s">
        <v>376</v>
      </c>
      <c r="F1" t="s">
        <v>56</v>
      </c>
      <c r="G1" t="s">
        <v>377</v>
      </c>
      <c r="H1" t="s">
        <v>17</v>
      </c>
      <c r="I1" t="s">
        <v>378</v>
      </c>
      <c r="J1" t="s">
        <v>370</v>
      </c>
      <c r="K1" t="s">
        <v>504</v>
      </c>
      <c r="L1" t="s">
        <v>55</v>
      </c>
      <c r="M1" t="s">
        <v>505</v>
      </c>
    </row>
    <row r="2" spans="1:13">
      <c r="A2">
        <v>2011</v>
      </c>
      <c r="B2" s="6">
        <v>32208</v>
      </c>
      <c r="D2" s="6">
        <v>14498</v>
      </c>
      <c r="F2" s="6">
        <v>11859</v>
      </c>
      <c r="H2" s="6">
        <v>35113</v>
      </c>
      <c r="J2">
        <v>5454</v>
      </c>
      <c r="L2">
        <v>13281</v>
      </c>
    </row>
    <row r="3" spans="1:13">
      <c r="A3">
        <v>2012</v>
      </c>
      <c r="B3" s="6">
        <v>32331</v>
      </c>
      <c r="D3" s="6">
        <v>15730</v>
      </c>
      <c r="F3" s="6">
        <v>12103</v>
      </c>
      <c r="H3" s="6">
        <v>36356</v>
      </c>
      <c r="J3">
        <v>5713</v>
      </c>
      <c r="L3">
        <v>13666</v>
      </c>
    </row>
    <row r="4" spans="1:13">
      <c r="A4">
        <v>2013</v>
      </c>
      <c r="B4" s="6">
        <v>33490</v>
      </c>
      <c r="D4" s="6">
        <v>15786</v>
      </c>
      <c r="F4" s="6">
        <v>14732</v>
      </c>
      <c r="H4" s="6">
        <v>37951</v>
      </c>
      <c r="J4">
        <v>5963</v>
      </c>
      <c r="L4">
        <v>14936</v>
      </c>
    </row>
    <row r="5" spans="1:13">
      <c r="A5">
        <v>2014</v>
      </c>
      <c r="B5" s="6">
        <v>34103</v>
      </c>
      <c r="D5" s="6">
        <v>14163</v>
      </c>
      <c r="F5" s="6">
        <v>14271</v>
      </c>
      <c r="H5" s="6">
        <v>39682</v>
      </c>
      <c r="J5">
        <v>6087</v>
      </c>
      <c r="L5">
        <v>14912</v>
      </c>
    </row>
    <row r="6" spans="1:13">
      <c r="A6">
        <v>2015</v>
      </c>
      <c r="B6" s="6">
        <v>34440</v>
      </c>
      <c r="D6" s="6">
        <v>16216</v>
      </c>
      <c r="F6" s="6">
        <v>15337</v>
      </c>
      <c r="H6" s="6">
        <v>39933</v>
      </c>
      <c r="J6">
        <v>6240</v>
      </c>
      <c r="L6">
        <v>15957</v>
      </c>
    </row>
    <row r="7" spans="1:13">
      <c r="A7">
        <v>2016</v>
      </c>
      <c r="B7" s="6">
        <v>35147</v>
      </c>
      <c r="D7" s="6">
        <v>19001</v>
      </c>
      <c r="F7" s="6">
        <v>15757</v>
      </c>
      <c r="H7" s="6">
        <v>39710</v>
      </c>
      <c r="J7">
        <v>6689</v>
      </c>
      <c r="L7">
        <v>15871</v>
      </c>
    </row>
    <row r="8" spans="1:13">
      <c r="A8">
        <v>2017</v>
      </c>
      <c r="B8" s="6">
        <v>37506</v>
      </c>
      <c r="D8" s="6">
        <v>24383</v>
      </c>
      <c r="F8" s="6">
        <v>16372</v>
      </c>
      <c r="H8" s="6">
        <v>40319</v>
      </c>
      <c r="J8">
        <v>6903</v>
      </c>
      <c r="L8">
        <v>15761</v>
      </c>
    </row>
    <row r="9" spans="1:13">
      <c r="A9">
        <v>2018</v>
      </c>
      <c r="B9" s="6">
        <v>39768</v>
      </c>
      <c r="D9" s="6">
        <v>28394</v>
      </c>
      <c r="F9" s="6">
        <v>17366</v>
      </c>
      <c r="H9" s="6">
        <v>41071</v>
      </c>
      <c r="J9">
        <v>7077</v>
      </c>
      <c r="L9">
        <v>15061</v>
      </c>
    </row>
    <row r="10" spans="1:13">
      <c r="A10">
        <v>2019</v>
      </c>
      <c r="B10" s="6">
        <v>41890</v>
      </c>
      <c r="D10" s="6">
        <v>26443</v>
      </c>
      <c r="F10" s="6">
        <v>17438</v>
      </c>
      <c r="H10" s="6">
        <v>41333</v>
      </c>
      <c r="J10">
        <v>7504</v>
      </c>
      <c r="L10">
        <v>15309</v>
      </c>
    </row>
    <row r="11" spans="1:13">
      <c r="A11">
        <v>2020</v>
      </c>
      <c r="B11" s="6">
        <v>43399</v>
      </c>
      <c r="D11" s="6">
        <v>16968</v>
      </c>
      <c r="F11" s="6">
        <v>17312</v>
      </c>
      <c r="H11" s="6">
        <v>41701</v>
      </c>
      <c r="J11">
        <v>8125</v>
      </c>
      <c r="L11">
        <v>14092</v>
      </c>
    </row>
    <row r="12" spans="1:13">
      <c r="A12">
        <v>2021</v>
      </c>
      <c r="C12" s="6" cm="1">
        <f t="array" ref="C12:C41">GROWTH(B2:B11,A2:A11,A12:A41,TRUE)</f>
        <v>43763.376677253269</v>
      </c>
      <c r="E12" s="74" cm="1">
        <f t="array" ref="E12:E41">GROWTH(D2:D11,A2:A11,A12:A41,TRUE)</f>
        <v>25725.068538374202</v>
      </c>
      <c r="G12" s="6" cm="1">
        <f t="array" ref="G12:G41">GROWTH(F2:F11,A2:A11,A12:A41,TRUE)</f>
        <v>19240.267909217044</v>
      </c>
      <c r="I12" s="6" cm="1">
        <f t="array" ref="I12:I41">GROWTH(H2:H11,A2:A11,A12:A41,TRUE)</f>
        <v>43220.762140925159</v>
      </c>
      <c r="K12" s="74" cm="1">
        <f t="array" ref="K12:K41">GROWTH(J2:J11,A2:A11,A12:A41,TRUE)</f>
        <v>8189.0251461593225</v>
      </c>
      <c r="M12" s="74" cm="1">
        <f t="array" ref="M12:M41">GROWTH(L2:L11,A2:A11,A12:A41,TRUE)</f>
        <v>15635.524519003095</v>
      </c>
    </row>
    <row r="13" spans="1:13">
      <c r="A13">
        <v>2022</v>
      </c>
      <c r="C13" s="6">
        <v>45291.155276120749</v>
      </c>
      <c r="E13" s="6">
        <v>27295.188828308321</v>
      </c>
      <c r="G13" s="6">
        <v>20101.197222440624</v>
      </c>
      <c r="I13" s="6">
        <v>43982.557391044276</v>
      </c>
      <c r="K13" s="74">
        <v>8533.5361481676664</v>
      </c>
      <c r="M13" s="74">
        <v>15781.2352119148</v>
      </c>
    </row>
    <row r="14" spans="1:13">
      <c r="A14">
        <v>2023</v>
      </c>
      <c r="C14" s="6">
        <v>46872.268595121262</v>
      </c>
      <c r="E14" s="6">
        <v>28961.140844450874</v>
      </c>
      <c r="G14" s="6">
        <v>21000.649870467583</v>
      </c>
      <c r="I14" s="6">
        <v>44757.779799185548</v>
      </c>
      <c r="K14" s="74">
        <v>8892.5406739332884</v>
      </c>
      <c r="M14" s="74">
        <v>15928.30381296717</v>
      </c>
    </row>
    <row r="15" spans="1:13">
      <c r="A15">
        <v>2024</v>
      </c>
      <c r="C15" s="6">
        <v>48508.57854826103</v>
      </c>
      <c r="E15" s="6">
        <v>30728.773641684893</v>
      </c>
      <c r="G15" s="6">
        <v>21940.349627016676</v>
      </c>
      <c r="I15" s="6">
        <v>45546.66602811699</v>
      </c>
      <c r="K15" s="74">
        <v>9266.6484637247904</v>
      </c>
      <c r="M15" s="74">
        <v>16076.74297678766</v>
      </c>
    </row>
    <row r="16" spans="1:13">
      <c r="A16">
        <v>2025</v>
      </c>
      <c r="C16" s="6">
        <v>50202.012048927521</v>
      </c>
      <c r="E16" s="6">
        <v>32604.293269849561</v>
      </c>
      <c r="G16" s="6">
        <v>22922.097398170317</v>
      </c>
      <c r="I16" s="6">
        <v>46349.456911948415</v>
      </c>
      <c r="K16" s="74">
        <v>9656.4949094881413</v>
      </c>
      <c r="M16" s="74">
        <v>16226.565475934654</v>
      </c>
    </row>
    <row r="17" spans="1:13">
      <c r="A17">
        <v>2026</v>
      </c>
      <c r="C17" s="6">
        <v>51954.56327901355</v>
      </c>
      <c r="E17" s="6">
        <v>34594.284562801367</v>
      </c>
      <c r="G17" s="6">
        <v>23947.774673755295</v>
      </c>
      <c r="I17" s="6">
        <v>47166.397529654219</v>
      </c>
      <c r="K17" s="74">
        <v>10062.742134008693</v>
      </c>
      <c r="M17" s="74">
        <v>16377.784201996645</v>
      </c>
    </row>
    <row r="18" spans="1:13">
      <c r="A18">
        <v>2027</v>
      </c>
      <c r="C18" s="6">
        <v>53768.296037263899</v>
      </c>
      <c r="E18" s="6">
        <v>36705.734257358927</v>
      </c>
      <c r="G18" s="6">
        <v>25019.347133161256</v>
      </c>
      <c r="I18" s="6">
        <v>47997.737279891939</v>
      </c>
      <c r="K18" s="74">
        <v>10486.080115473413</v>
      </c>
      <c r="M18" s="74">
        <v>16530.412166701695</v>
      </c>
    </row>
    <row r="19" spans="1:13">
      <c r="A19">
        <v>2028</v>
      </c>
      <c r="C19" s="6">
        <v>55645.346169596</v>
      </c>
      <c r="E19" s="6">
        <v>38946.055523303796</v>
      </c>
      <c r="G19" s="6">
        <v>26138.868412505621</v>
      </c>
      <c r="I19" s="6">
        <v>48843.729957139636</v>
      </c>
      <c r="K19" s="74">
        <v>10927.227859343091</v>
      </c>
      <c r="M19" s="74">
        <v>16684.46250303667</v>
      </c>
    </row>
    <row r="20" spans="1:13">
      <c r="A20">
        <v>2029</v>
      </c>
      <c r="C20" s="6">
        <v>57587.924084262922</v>
      </c>
      <c r="E20" s="6">
        <v>41323.113990566475</v>
      </c>
      <c r="G20" s="6">
        <v>27308.484040364921</v>
      </c>
      <c r="I20" s="6">
        <v>49704.633829175189</v>
      </c>
      <c r="K20" s="74">
        <v>11386.934619525817</v>
      </c>
      <c r="M20" s="74">
        <v>16839.948466377471</v>
      </c>
    </row>
    <row r="21" spans="1:13">
      <c r="A21">
        <v>2030</v>
      </c>
      <c r="C21" s="6">
        <v>59598.317354827705</v>
      </c>
      <c r="E21" s="6">
        <v>43845.25536496412</v>
      </c>
      <c r="G21" s="6">
        <v>28530.435549615664</v>
      </c>
      <c r="I21" s="6">
        <v>50580.71171592125</v>
      </c>
      <c r="K21" s="74">
        <v>11865.981170923476</v>
      </c>
      <c r="M21" s="74">
        <v>16996.88343562977</v>
      </c>
    </row>
    <row r="22" spans="1:13">
      <c r="A22">
        <v>2031</v>
      </c>
      <c r="C22" s="6">
        <v>61678.893413999685</v>
      </c>
      <c r="E22" s="6">
        <v>46521.3347294634</v>
      </c>
      <c r="G22" s="6">
        <v>29807.064773262467</v>
      </c>
      <c r="I22" s="6">
        <v>51472.231069679881</v>
      </c>
      <c r="K22" s="74">
        <v>12365.18113551563</v>
      </c>
      <c r="M22" s="74">
        <v>17155.280914379844</v>
      </c>
    </row>
    <row r="23" spans="1:13">
      <c r="A23">
        <v>2032</v>
      </c>
      <c r="C23" s="6">
        <v>63832.102341517282</v>
      </c>
      <c r="E23" s="6">
        <v>49360.747633829626</v>
      </c>
      <c r="G23" s="6">
        <v>31140.818332492399</v>
      </c>
      <c r="I23" s="6">
        <v>52379.464056781406</v>
      </c>
      <c r="K23" s="74">
        <v>12885.382364230756</v>
      </c>
      <c r="M23" s="74">
        <v>17315.154532056706</v>
      </c>
    </row>
    <row r="24" spans="1:13">
      <c r="A24">
        <v>2033</v>
      </c>
      <c r="C24" s="6">
        <v>66060.479749350561</v>
      </c>
      <c r="E24" s="6">
        <v>52373.463081820868</v>
      </c>
      <c r="G24" s="6">
        <v>32534.252325548692</v>
      </c>
      <c r="I24" s="6">
        <v>53302.687640672302</v>
      </c>
      <c r="K24" s="74">
        <v>13427.468376952767</v>
      </c>
      <c r="M24" s="74">
        <v>17476.518045105011</v>
      </c>
    </row>
    <row r="25" spans="1:13">
      <c r="A25">
        <v>2034</v>
      </c>
      <c r="C25" s="6">
        <v>68366.649767635157</v>
      </c>
      <c r="E25" s="6">
        <v>55570.058531750801</v>
      </c>
      <c r="G25" s="6">
        <v>33990.037226415865</v>
      </c>
      <c r="I25" s="6">
        <v>54242.183666467703</v>
      </c>
      <c r="K25" s="74">
        <v>13992.359863108346</v>
      </c>
      <c r="M25" s="74">
        <v>17639.385338168391</v>
      </c>
    </row>
    <row r="26" spans="1:13">
      <c r="A26">
        <v>2035</v>
      </c>
      <c r="C26" s="6">
        <v>70753.328134835989</v>
      </c>
      <c r="E26" s="6">
        <v>58961.757033287337</v>
      </c>
      <c r="G26" s="6">
        <v>35510.963002702163</v>
      </c>
      <c r="I26" s="6">
        <v>55198.238946994425</v>
      </c>
      <c r="K26" s="74">
        <v>14581.016245383791</v>
      </c>
      <c r="M26" s="74">
        <v>17803.770425284358</v>
      </c>
    </row>
    <row r="27" spans="1:13">
      <c r="A27">
        <v>2036</v>
      </c>
      <c r="C27" s="6">
        <v>73223.325395794149</v>
      </c>
      <c r="E27" s="6">
        <v>62560.466630893745</v>
      </c>
      <c r="G27" s="6">
        <v>37099.944462527819</v>
      </c>
      <c r="I27" s="6">
        <v>56171.145350348757</v>
      </c>
      <c r="K27" s="74">
        <v>15194.43730922694</v>
      </c>
      <c r="M27" s="74">
        <v>17969.687451090314</v>
      </c>
    </row>
    <row r="28" spans="1:13">
      <c r="A28">
        <v>2037</v>
      </c>
      <c r="C28" s="6">
        <v>75779.550211411508</v>
      </c>
      <c r="E28" s="6">
        <v>66378.822172237036</v>
      </c>
      <c r="G28" s="6">
        <v>38760.026840666986</v>
      </c>
      <c r="I28" s="6">
        <v>57161.199889001327</v>
      </c>
      <c r="K28" s="74">
        <v>15833.664900903073</v>
      </c>
      <c r="M28" s="74">
        <v>18137.150692040294</v>
      </c>
    </row>
    <row r="29" spans="1:13">
      <c r="A29">
        <v>2038</v>
      </c>
      <c r="C29" s="6">
        <v>78425.012783886501</v>
      </c>
      <c r="E29" s="6">
        <v>70430.229668356566</v>
      </c>
      <c r="G29" s="6">
        <v>40494.391634645624</v>
      </c>
      <c r="I29" s="6">
        <v>58168.704810468662</v>
      </c>
      <c r="K29" s="74">
        <v>16499.784696985618</v>
      </c>
      <c r="M29" s="74">
        <v>18306.174557633563</v>
      </c>
    </row>
    <row r="30" spans="1:13">
      <c r="A30">
        <v>2039</v>
      </c>
      <c r="C30" s="6">
        <v>81162.828401515872</v>
      </c>
      <c r="E30" s="6">
        <v>74728.913361349463</v>
      </c>
      <c r="G30" s="6">
        <v>42306.362701988262</v>
      </c>
      <c r="I30" s="6">
        <v>59193.967689584737</v>
      </c>
      <c r="K30" s="74">
        <v>17193.928048291167</v>
      </c>
      <c r="M30" s="74">
        <v>18476.773591654681</v>
      </c>
    </row>
    <row r="31" spans="1:13">
      <c r="A31">
        <v>2040</v>
      </c>
      <c r="C31" s="6">
        <v>83996.221107244637</v>
      </c>
      <c r="E31" s="6">
        <v>79289.965664800344</v>
      </c>
      <c r="G31" s="6">
        <v>44199.412630287974</v>
      </c>
      <c r="I31" s="6">
        <v>60237.301522398659</v>
      </c>
      <c r="K31" s="74">
        <v>17917.273901387525</v>
      </c>
      <c r="M31" s="74">
        <v>18648.962473424559</v>
      </c>
    </row>
    <row r="32" spans="1:13">
      <c r="A32">
        <v>2041</v>
      </c>
      <c r="C32" s="6">
        <v>86928.527495295595</v>
      </c>
      <c r="E32" s="6">
        <v>84129.400152322618</v>
      </c>
      <c r="G32" s="6">
        <v>46177.169392315729</v>
      </c>
      <c r="I32" s="6">
        <v>61299.024821727187</v>
      </c>
      <c r="K32" s="74">
        <v>18671.05080093948</v>
      </c>
      <c r="M32" s="74">
        <v>18822.756019063749</v>
      </c>
    </row>
    <row r="33" spans="1:13">
      <c r="A33">
        <v>2042</v>
      </c>
      <c r="C33" s="6">
        <v>89963.200640327486</v>
      </c>
      <c r="E33" s="6">
        <v>89264.207780226003</v>
      </c>
      <c r="G33" s="6">
        <v>48243.423298920156</v>
      </c>
      <c r="I33" s="6">
        <v>62379.461714391524</v>
      </c>
      <c r="K33" s="74">
        <v>19456.538976292948</v>
      </c>
      <c r="M33" s="74">
        <v>18998.169182767491</v>
      </c>
    </row>
    <row r="34" spans="1:13">
      <c r="A34">
        <v>2043</v>
      </c>
      <c r="C34" s="6">
        <v>93103.814163767311</v>
      </c>
      <c r="E34" s="6">
        <v>94712.416541713144</v>
      </c>
      <c r="G34" s="6">
        <v>50402.134263043314</v>
      </c>
      <c r="I34" s="6">
        <v>63478.942040167982</v>
      </c>
      <c r="K34" s="74">
        <v>20275.072515841402</v>
      </c>
      <c r="M34" s="74">
        <v>19175.217058092072</v>
      </c>
    </row>
    <row r="35" spans="1:13">
      <c r="A35">
        <v>2044</v>
      </c>
      <c r="C35" s="6">
        <v>96354.066442090043</v>
      </c>
      <c r="E35" s="6">
        <v>100493.15476206051</v>
      </c>
      <c r="G35" s="6">
        <v>52657.43938877379</v>
      </c>
      <c r="I35" s="6">
        <v>64597.801452482629</v>
      </c>
      <c r="K35" s="74">
        <v>21128.04163286724</v>
      </c>
      <c r="M35" s="74">
        <v>19353.914879253753</v>
      </c>
    </row>
    <row r="36" spans="1:13">
      <c r="A36">
        <v>2045</v>
      </c>
      <c r="C36" s="6">
        <v>99717.784962023041</v>
      </c>
      <c r="E36" s="6">
        <v>106626.71825698645</v>
      </c>
      <c r="G36" s="6">
        <v>55013.660899981907</v>
      </c>
      <c r="I36" s="6">
        <v>65736.381520880881</v>
      </c>
      <c r="K36" s="74">
        <v>22016.895026708251</v>
      </c>
      <c r="M36" s="74">
        <v>19534.278022439819</v>
      </c>
    </row>
    <row r="37" spans="1:13">
      <c r="A37">
        <v>2046</v>
      </c>
      <c r="C37" s="6">
        <v>103198.9308277769</v>
      </c>
      <c r="E37" s="6">
        <v>113134.64159000486</v>
      </c>
      <c r="G37" s="6">
        <v>57475.314423727665</v>
      </c>
      <c r="I37" s="6">
        <v>66895.029835303067</v>
      </c>
      <c r="K37" s="74">
        <v>22943.142343254982</v>
      </c>
      <c r="M37" s="74">
        <v>19716.322007131232</v>
      </c>
    </row>
    <row r="38" spans="1:13">
      <c r="A38">
        <v>2047</v>
      </c>
      <c r="C38" s="6">
        <v>106801.60342563197</v>
      </c>
      <c r="E38" s="6">
        <v>120039.77367896141</v>
      </c>
      <c r="G38" s="6">
        <v>60047.117644327576</v>
      </c>
      <c r="I38" s="6">
        <v>68074.100112198008</v>
      </c>
      <c r="K38" s="74">
        <v>23908.356738963845</v>
      </c>
      <c r="M38" s="74">
        <v>19900.062497438204</v>
      </c>
    </row>
    <row r="39" spans="1:13">
      <c r="A39">
        <v>2048</v>
      </c>
      <c r="C39" s="6">
        <v>110530.0452513566</v>
      </c>
      <c r="E39" s="6">
        <v>127366.35801716386</v>
      </c>
      <c r="G39" s="6">
        <v>62733.999344650547</v>
      </c>
      <c r="I39" s="6">
        <v>69273.952302506834</v>
      </c>
      <c r="K39" s="74">
        <v>24914.177552736335</v>
      </c>
      <c r="M39" s="74">
        <v>20085.515303448246</v>
      </c>
    </row>
    <row r="40" spans="1:13">
      <c r="A40">
        <v>2049</v>
      </c>
      <c r="C40" s="6">
        <v>114388.64690616554</v>
      </c>
      <c r="E40" s="6">
        <v>135140.11779080448</v>
      </c>
      <c r="G40" s="6">
        <v>65541.108851981553</v>
      </c>
      <c r="I40" s="6">
        <v>70494.95270155021</v>
      </c>
      <c r="K40" s="74">
        <v>25962.31309020413</v>
      </c>
      <c r="M40" s="74">
        <v>20272.696382586149</v>
      </c>
    </row>
    <row r="41" spans="1:13">
      <c r="A41">
        <v>2050</v>
      </c>
      <c r="C41" s="6">
        <v>118381.95226707378</v>
      </c>
      <c r="E41" s="6">
        <v>143388.34619147761</v>
      </c>
      <c r="G41" s="6">
        <v>68473.825906551123</v>
      </c>
      <c r="I41" s="6">
        <v>71737.474060852255</v>
      </c>
      <c r="K41" s="74">
        <v>27054.543525148572</v>
      </c>
      <c r="M41" s="74">
        <v>20461.621840987238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M41"/>
  <sheetViews>
    <sheetView tabSelected="1" topLeftCell="H1" zoomScale="94" workbookViewId="0">
      <selection activeCell="K14" sqref="K14"/>
    </sheetView>
  </sheetViews>
  <sheetFormatPr baseColWidth="10" defaultColWidth="8.83203125" defaultRowHeight="15"/>
  <cols>
    <col min="1" max="1" width="9.1640625" bestFit="1" customWidth="1"/>
    <col min="2" max="11" width="9" bestFit="1" customWidth="1"/>
    <col min="13" max="13" width="9.1640625" bestFit="1" customWidth="1"/>
  </cols>
  <sheetData>
    <row r="1" spans="1:13">
      <c r="A1" s="75" t="s">
        <v>0</v>
      </c>
      <c r="B1" s="75" t="s">
        <v>30</v>
      </c>
      <c r="C1" s="24" t="s">
        <v>375</v>
      </c>
      <c r="D1" s="75" t="s">
        <v>68</v>
      </c>
      <c r="E1" s="75" t="s">
        <v>376</v>
      </c>
      <c r="F1" s="75" t="s">
        <v>17</v>
      </c>
      <c r="G1" s="75" t="s">
        <v>378</v>
      </c>
      <c r="H1" s="75" t="s">
        <v>55</v>
      </c>
      <c r="I1" s="75" t="s">
        <v>505</v>
      </c>
      <c r="J1" s="75" t="s">
        <v>56</v>
      </c>
      <c r="K1" s="24" t="s">
        <v>377</v>
      </c>
      <c r="L1" s="75" t="s">
        <v>370</v>
      </c>
      <c r="M1" s="75" t="s">
        <v>504</v>
      </c>
    </row>
    <row r="2" spans="1:13">
      <c r="A2" s="76">
        <v>2011</v>
      </c>
      <c r="B2" s="75">
        <v>9.8000000000000007</v>
      </c>
      <c r="C2" s="24"/>
      <c r="D2" s="75">
        <v>4.5999999999999996</v>
      </c>
      <c r="E2" s="24"/>
      <c r="F2" s="75">
        <v>54.6</v>
      </c>
      <c r="G2" s="24"/>
      <c r="H2" s="75">
        <v>88.9</v>
      </c>
      <c r="I2" s="24"/>
      <c r="J2" s="75">
        <v>93.3</v>
      </c>
      <c r="K2" s="24"/>
      <c r="L2" s="73">
        <v>11.101692562338222</v>
      </c>
      <c r="M2" s="73"/>
    </row>
    <row r="3" spans="1:13">
      <c r="A3" s="76">
        <v>2012</v>
      </c>
      <c r="B3" s="75">
        <v>9.8000000000000007</v>
      </c>
      <c r="C3" s="24"/>
      <c r="D3" s="75">
        <v>4.9000000000000004</v>
      </c>
      <c r="E3" s="24"/>
      <c r="F3" s="75">
        <v>55.6</v>
      </c>
      <c r="G3" s="24"/>
      <c r="H3" s="75">
        <v>90.8</v>
      </c>
      <c r="I3" s="24"/>
      <c r="J3" s="75">
        <v>93.9</v>
      </c>
      <c r="K3" s="24"/>
      <c r="L3" s="73">
        <v>11.518242694797012</v>
      </c>
      <c r="M3" s="73"/>
    </row>
    <row r="4" spans="1:13">
      <c r="A4" s="76">
        <v>2013</v>
      </c>
      <c r="B4" s="75">
        <v>10.199999999999999</v>
      </c>
      <c r="C4" s="24"/>
      <c r="D4" s="75">
        <v>4.8</v>
      </c>
      <c r="E4" s="24"/>
      <c r="F4" s="75">
        <v>57.3</v>
      </c>
      <c r="G4" s="24"/>
      <c r="H4" s="75">
        <v>98.8</v>
      </c>
      <c r="I4" s="24"/>
      <c r="J4" s="75">
        <v>113</v>
      </c>
      <c r="K4" s="24"/>
      <c r="L4" s="73">
        <v>11.909049849349421</v>
      </c>
      <c r="M4" s="73"/>
    </row>
    <row r="5" spans="1:13">
      <c r="A5" s="76">
        <v>2014</v>
      </c>
      <c r="B5" s="75">
        <v>10.4</v>
      </c>
      <c r="C5" s="24"/>
      <c r="D5" s="75">
        <v>4.2</v>
      </c>
      <c r="E5" s="24"/>
      <c r="F5" s="75">
        <v>59.4</v>
      </c>
      <c r="G5" s="24"/>
      <c r="H5" s="75">
        <v>98.4</v>
      </c>
      <c r="I5" s="24"/>
      <c r="J5" s="75">
        <v>108.8</v>
      </c>
      <c r="K5" s="24"/>
      <c r="L5" s="73">
        <v>12.044150567434421</v>
      </c>
      <c r="M5" s="73"/>
    </row>
    <row r="6" spans="1:13">
      <c r="A6" s="76">
        <v>2015</v>
      </c>
      <c r="B6" s="75">
        <v>10.5</v>
      </c>
      <c r="C6" s="24"/>
      <c r="D6" s="75">
        <v>4.8</v>
      </c>
      <c r="E6" s="24"/>
      <c r="F6" s="75">
        <v>59.5</v>
      </c>
      <c r="G6" s="24"/>
      <c r="H6" s="75">
        <v>105.3</v>
      </c>
      <c r="I6" s="24"/>
      <c r="J6" s="75">
        <v>116.7</v>
      </c>
      <c r="K6" s="24"/>
      <c r="L6" s="73">
        <v>12.239154971081858</v>
      </c>
      <c r="M6" s="73"/>
    </row>
    <row r="7" spans="1:13">
      <c r="A7" s="76">
        <v>2016</v>
      </c>
      <c r="B7" s="75">
        <v>10.8</v>
      </c>
      <c r="C7" s="24"/>
      <c r="D7" s="75">
        <v>5.5</v>
      </c>
      <c r="E7" s="24"/>
      <c r="F7" s="75">
        <v>58.9</v>
      </c>
      <c r="G7" s="24"/>
      <c r="H7" s="75">
        <v>104.8</v>
      </c>
      <c r="I7" s="24"/>
      <c r="J7" s="75">
        <v>119.8</v>
      </c>
      <c r="K7" s="24"/>
      <c r="L7" s="73">
        <v>13.039535642037475</v>
      </c>
      <c r="M7" s="73"/>
    </row>
    <row r="8" spans="1:13">
      <c r="A8" s="76">
        <v>2017</v>
      </c>
      <c r="B8" s="75">
        <v>11.7</v>
      </c>
      <c r="C8" s="24"/>
      <c r="D8" s="75">
        <v>7</v>
      </c>
      <c r="E8" s="24"/>
      <c r="F8" s="75">
        <v>59.5</v>
      </c>
      <c r="G8" s="24"/>
      <c r="H8" s="75">
        <v>103.9</v>
      </c>
      <c r="I8" s="24"/>
      <c r="J8" s="75">
        <v>124.4</v>
      </c>
      <c r="K8" s="24"/>
      <c r="L8" s="73">
        <v>13.407457689060449</v>
      </c>
      <c r="M8" s="73"/>
    </row>
    <row r="9" spans="1:13">
      <c r="A9" s="76">
        <v>2018</v>
      </c>
      <c r="B9" s="75">
        <v>12.7</v>
      </c>
      <c r="C9" s="24"/>
      <c r="D9" s="75">
        <v>8.1</v>
      </c>
      <c r="E9" s="24"/>
      <c r="F9" s="75">
        <v>60.4</v>
      </c>
      <c r="G9" s="24"/>
      <c r="H9" s="75">
        <v>99.2</v>
      </c>
      <c r="I9" s="24"/>
      <c r="J9" s="75">
        <v>131.9</v>
      </c>
      <c r="K9" s="24"/>
      <c r="L9" s="73">
        <v>13.704255391085987</v>
      </c>
      <c r="M9" s="73"/>
    </row>
    <row r="10" spans="1:13">
      <c r="A10" s="76">
        <v>2019</v>
      </c>
      <c r="B10" s="75">
        <v>13.5</v>
      </c>
      <c r="C10" s="24"/>
      <c r="D10" s="75">
        <v>7.5</v>
      </c>
      <c r="E10" s="24"/>
      <c r="F10" s="75">
        <v>60.7</v>
      </c>
      <c r="G10" s="24"/>
      <c r="H10" s="75">
        <v>101</v>
      </c>
      <c r="I10" s="24"/>
      <c r="J10" s="75">
        <v>132.6</v>
      </c>
      <c r="K10" s="24"/>
      <c r="L10" s="73">
        <v>14.495484320518184</v>
      </c>
      <c r="M10" s="73"/>
    </row>
    <row r="11" spans="1:13">
      <c r="A11" s="76">
        <v>2020</v>
      </c>
      <c r="B11" s="75">
        <v>14.3</v>
      </c>
      <c r="C11" s="24"/>
      <c r="D11" s="75">
        <v>4.7</v>
      </c>
      <c r="E11" s="24"/>
      <c r="F11" s="75">
        <v>61.1</v>
      </c>
      <c r="G11" s="24"/>
      <c r="H11" s="75">
        <v>93.2</v>
      </c>
      <c r="I11" s="24"/>
      <c r="J11" s="75">
        <v>132.1</v>
      </c>
      <c r="K11" s="24"/>
      <c r="L11" s="73">
        <v>15.667639480847125</v>
      </c>
      <c r="M11" s="73"/>
    </row>
    <row r="12" spans="1:13">
      <c r="A12" s="77">
        <v>2021</v>
      </c>
      <c r="B12" s="24"/>
      <c r="C12" s="24" cm="1">
        <f t="array" ref="C12:C41">GROWTH(B2:B11,A2:A11,A12:A41,TRUE)</f>
        <v>14.29280887807638</v>
      </c>
      <c r="D12" s="24"/>
      <c r="E12" s="24" cm="1">
        <f t="array" ref="E12:E41">GROWTH(D2:D11,A2:A11,A12:A41,TRUE)</f>
        <v>7.0136780352728314</v>
      </c>
      <c r="F12" s="24"/>
      <c r="G12" s="24" cm="1">
        <f t="array" ref="G12:G41">GROWTH(F2:F11,A2:A11,A12:A41,TRUE)</f>
        <v>62.466952544552981</v>
      </c>
      <c r="H12" s="24"/>
      <c r="I12" s="24" cm="1">
        <f t="array" ref="I12:I41">GROWTH(H2:H11,A2:A11,A12:A41,TRUE)</f>
        <v>102.79393998090306</v>
      </c>
      <c r="J12" s="24"/>
      <c r="K12" s="24" cm="1">
        <f t="array" ref="K12:K41">GROWTH(J2:J11,A2:A11,A12:A41,TRUE)</f>
        <v>144.97740396883907</v>
      </c>
      <c r="M12" s="73" cm="1">
        <f t="array" ref="M12:M41">GROWTH(L2:L11,A2:A11,A12:A41,TRUE)</f>
        <v>15.581418014495911</v>
      </c>
    </row>
    <row r="13" spans="1:13">
      <c r="A13" s="77">
        <v>2022</v>
      </c>
      <c r="B13" s="24"/>
      <c r="C13" s="24">
        <v>14.923123306188806</v>
      </c>
      <c r="D13" s="24"/>
      <c r="E13" s="24">
        <v>7.3379736445997885</v>
      </c>
      <c r="F13" s="24"/>
      <c r="G13" s="24">
        <v>63.184673976809947</v>
      </c>
      <c r="H13" s="24"/>
      <c r="I13" s="24">
        <v>103.63777528241543</v>
      </c>
      <c r="J13" s="24"/>
      <c r="K13" s="24">
        <v>151.02841754169356</v>
      </c>
      <c r="M13" s="73">
        <v>16.138566899660336</v>
      </c>
    </row>
    <row r="14" spans="1:13">
      <c r="A14" s="77">
        <v>2023</v>
      </c>
      <c r="B14" s="24"/>
      <c r="C14" s="24">
        <v>15.581234669226523</v>
      </c>
      <c r="D14" s="24"/>
      <c r="E14" s="24">
        <v>7.6772639031963337</v>
      </c>
      <c r="F14" s="24"/>
      <c r="G14" s="24">
        <v>63.910641754267893</v>
      </c>
      <c r="H14" s="24"/>
      <c r="I14" s="24">
        <v>104.48853762667187</v>
      </c>
      <c r="J14" s="24"/>
      <c r="K14" s="24">
        <v>157.33198609385187</v>
      </c>
      <c r="M14" s="73">
        <v>16.715637904874903</v>
      </c>
    </row>
    <row r="15" spans="1:13">
      <c r="A15" s="77">
        <v>2024</v>
      </c>
      <c r="B15" s="24"/>
      <c r="C15" s="24">
        <v>16.268368815047467</v>
      </c>
      <c r="D15" s="24"/>
      <c r="E15" s="24">
        <v>8.0322421275930935</v>
      </c>
      <c r="F15" s="24"/>
      <c r="G15" s="24">
        <v>64.644950624283908</v>
      </c>
      <c r="H15" s="24"/>
      <c r="I15" s="24">
        <v>105.34628387775567</v>
      </c>
      <c r="J15" s="24"/>
      <c r="K15" s="24">
        <v>163.89865067216789</v>
      </c>
      <c r="M15" s="73">
        <v>17.313343390655792</v>
      </c>
    </row>
    <row r="16" spans="1:13">
      <c r="A16" s="77">
        <v>2025</v>
      </c>
      <c r="B16" s="24"/>
      <c r="C16" s="24">
        <v>16.985805651532704</v>
      </c>
      <c r="D16" s="24"/>
      <c r="E16" s="24">
        <v>8.4036336916097767</v>
      </c>
      <c r="F16" s="24"/>
      <c r="G16" s="24">
        <v>65.387696422826977</v>
      </c>
      <c r="H16" s="24"/>
      <c r="I16" s="24">
        <v>106.21107136654838</v>
      </c>
      <c r="J16" s="24"/>
      <c r="K16" s="24">
        <v>170.73939228182581</v>
      </c>
      <c r="M16" s="73">
        <v>17.932421189582605</v>
      </c>
    </row>
    <row r="17" spans="1:13">
      <c r="A17" s="77">
        <v>2026</v>
      </c>
      <c r="B17" s="24"/>
      <c r="C17" s="24">
        <v>17.734881530641189</v>
      </c>
      <c r="D17" s="24"/>
      <c r="E17" s="24">
        <v>8.7921975086078472</v>
      </c>
      <c r="F17" s="24"/>
      <c r="G17" s="24">
        <v>66.13897608698386</v>
      </c>
      <c r="H17" s="24"/>
      <c r="I17" s="24">
        <v>107.0829578945596</v>
      </c>
      <c r="J17" s="24"/>
      <c r="K17" s="24">
        <v>177.86565024917306</v>
      </c>
      <c r="M17" s="73">
        <v>18.573635517108873</v>
      </c>
    </row>
    <row r="18" spans="1:13">
      <c r="A18" s="77">
        <v>2027</v>
      </c>
      <c r="B18" s="24"/>
      <c r="C18" s="24">
        <v>18.516991737597827</v>
      </c>
      <c r="D18" s="24"/>
      <c r="E18" s="24">
        <v>9.1987275822778205</v>
      </c>
      <c r="F18" s="24"/>
      <c r="G18" s="24">
        <v>66.898887667612087</v>
      </c>
      <c r="H18" s="24"/>
      <c r="I18" s="24">
        <v>107.96200173779181</v>
      </c>
      <c r="J18" s="24"/>
      <c r="K18" s="24">
        <v>185.28934135095099</v>
      </c>
      <c r="M18" s="73">
        <v>19.23777791494301</v>
      </c>
    </row>
    <row r="19" spans="1:13">
      <c r="A19" s="77">
        <v>2028</v>
      </c>
      <c r="B19" s="24"/>
      <c r="C19" s="24">
        <v>19.333593089858915</v>
      </c>
      <c r="D19" s="24"/>
      <c r="E19" s="24">
        <v>9.6240546291318338</v>
      </c>
      <c r="F19" s="24"/>
      <c r="G19" s="24">
        <v>67.667530342136118</v>
      </c>
      <c r="H19" s="24"/>
      <c r="I19" s="24">
        <v>108.84826165063505</v>
      </c>
      <c r="J19" s="24"/>
      <c r="K19" s="24">
        <v>193.02287974194644</v>
      </c>
      <c r="M19" s="73">
        <v>19.925668228159665</v>
      </c>
    </row>
    <row r="20" spans="1:13">
      <c r="A20" s="77">
        <v>2029</v>
      </c>
      <c r="B20" s="24"/>
      <c r="C20" s="24">
        <v>20.186206650688167</v>
      </c>
      <c r="D20" s="24"/>
      <c r="E20" s="24">
        <v>10.069047776016257</v>
      </c>
      <c r="F20" s="24"/>
      <c r="G20" s="24">
        <v>68.44500442749046</v>
      </c>
      <c r="H20" s="24"/>
      <c r="I20" s="24">
        <v>109.74179686979414</v>
      </c>
      <c r="J20" s="24"/>
      <c r="K20" s="24">
        <v>201.07919771437352</v>
      </c>
      <c r="M20" s="73">
        <v>20.638155617249836</v>
      </c>
    </row>
    <row r="21" spans="1:13">
      <c r="A21" s="77">
        <v>2030</v>
      </c>
      <c r="B21" s="24"/>
      <c r="C21" s="24">
        <v>21.076420562406003</v>
      </c>
      <c r="D21" s="24"/>
      <c r="E21" s="24">
        <v>10.534616336113185</v>
      </c>
      <c r="F21" s="24"/>
      <c r="G21" s="24">
        <v>69.231411393213847</v>
      </c>
      <c r="H21" s="24"/>
      <c r="I21" s="24">
        <v>110.64266711824786</v>
      </c>
      <c r="J21" s="24"/>
      <c r="K21" s="24">
        <v>209.47176732370303</v>
      </c>
      <c r="M21" s="73">
        <v>21.376119606361637</v>
      </c>
    </row>
    <row r="22" spans="1:13">
      <c r="A22" s="77">
        <v>2031</v>
      </c>
      <c r="B22" s="24"/>
      <c r="C22" s="24">
        <v>22.005893004581264</v>
      </c>
      <c r="D22" s="24"/>
      <c r="E22" s="24">
        <v>11.021711667059988</v>
      </c>
      <c r="F22" s="24"/>
      <c r="G22" s="24">
        <v>70.026853874690261</v>
      </c>
      <c r="H22" s="24"/>
      <c r="I22" s="24">
        <v>111.55093260924087</v>
      </c>
      <c r="J22" s="24"/>
      <c r="K22" s="24">
        <v>218.21462291710282</v>
      </c>
      <c r="M22" s="73">
        <v>22.14047116902081</v>
      </c>
    </row>
    <row r="23" spans="1:13">
      <c r="A23" s="77">
        <v>2032</v>
      </c>
      <c r="B23" s="24"/>
      <c r="C23" s="24">
        <v>22.976355282682334</v>
      </c>
      <c r="D23" s="24"/>
      <c r="E23" s="24">
        <v>11.531329114983828</v>
      </c>
      <c r="F23" s="24"/>
      <c r="G23" s="24">
        <v>70.831435686545817</v>
      </c>
      <c r="H23" s="24"/>
      <c r="I23" s="24">
        <v>112.46665405030824</v>
      </c>
      <c r="J23" s="24"/>
      <c r="K23" s="24">
        <v>227.32238460216183</v>
      </c>
      <c r="M23" s="73">
        <v>22.932153852673466</v>
      </c>
    </row>
    <row r="24" spans="1:13">
      <c r="A24" s="77">
        <v>2033</v>
      </c>
      <c r="B24" s="24"/>
      <c r="C24" s="24">
        <v>23.98961505293828</v>
      </c>
      <c r="D24" s="24"/>
      <c r="E24" s="24">
        <v>12.064510048423678</v>
      </c>
      <c r="F24" s="24"/>
      <c r="G24" s="24">
        <v>71.645261836197065</v>
      </c>
      <c r="H24" s="24"/>
      <c r="I24" s="24">
        <v>113.38989264733313</v>
      </c>
      <c r="J24" s="24"/>
      <c r="K24" s="24">
        <v>236.81028269514317</v>
      </c>
      <c r="M24" s="73">
        <v>23.752144943442584</v>
      </c>
    </row>
    <row r="25" spans="1:13">
      <c r="A25" s="77">
        <v>2034</v>
      </c>
      <c r="B25" s="24"/>
      <c r="C25" s="24">
        <v>25.047559689413404</v>
      </c>
      <c r="D25" s="24"/>
      <c r="E25" s="24">
        <v>12.622343986296164</v>
      </c>
      <c r="F25" s="24"/>
      <c r="G25" s="24">
        <v>72.468438537554889</v>
      </c>
      <c r="H25" s="24"/>
      <c r="I25" s="24">
        <v>114.3207101086377</v>
      </c>
      <c r="J25" s="24"/>
      <c r="K25" s="24">
        <v>246.69418318965276</v>
      </c>
      <c r="M25" s="73">
        <v>24.601456672528201</v>
      </c>
    </row>
    <row r="26" spans="1:13">
      <c r="A26" s="77">
        <v>2035</v>
      </c>
      <c r="B26" s="24"/>
      <c r="C26" s="24">
        <v>26.152159799575184</v>
      </c>
      <c r="D26" s="24"/>
      <c r="E26" s="24">
        <v>13.205970824252537</v>
      </c>
      <c r="F26" s="24"/>
      <c r="G26" s="24">
        <v>73.301073224888484</v>
      </c>
      <c r="H26" s="24"/>
      <c r="I26" s="24">
        <v>115.25916864910764</v>
      </c>
      <c r="J26" s="24"/>
      <c r="K26" s="24">
        <v>256.99061428829276</v>
      </c>
      <c r="M26" s="73">
        <v>25.481137465750137</v>
      </c>
    </row>
    <row r="27" spans="1:13">
      <c r="A27" s="77">
        <v>2036</v>
      </c>
      <c r="B27" s="24"/>
      <c r="C27" s="24">
        <v>27.305472894893576</v>
      </c>
      <c r="D27" s="24"/>
      <c r="E27" s="24">
        <v>13.816583163978848</v>
      </c>
      <c r="F27" s="24"/>
      <c r="G27" s="24">
        <v>74.143274566844724</v>
      </c>
      <c r="H27" s="24"/>
      <c r="I27" s="24">
        <v>116.2053309943505</v>
      </c>
      <c r="J27" s="24"/>
      <c r="K27" s="24">
        <v>267.71679404171766</v>
      </c>
      <c r="M27" s="73">
        <v>26.392273237767572</v>
      </c>
    </row>
    <row r="28" spans="1:13">
      <c r="A28" s="77">
        <v>2037</v>
      </c>
      <c r="B28" s="24"/>
      <c r="C28" s="24">
        <v>28.509647223319952</v>
      </c>
      <c r="D28" s="24"/>
      <c r="E28" s="24">
        <v>14.455428750195551</v>
      </c>
      <c r="F28" s="24"/>
      <c r="G28" s="24">
        <v>74.995152480632825</v>
      </c>
      <c r="H28" s="24"/>
      <c r="I28" s="24">
        <v>117.15926038488831</v>
      </c>
      <c r="J28" s="24"/>
      <c r="K28" s="24">
        <v>278.89065914124529</v>
      </c>
      <c r="M28" s="73">
        <v>27.335988732576258</v>
      </c>
    </row>
    <row r="29" spans="1:13">
      <c r="A29" s="77">
        <v>2038</v>
      </c>
      <c r="B29" s="24"/>
      <c r="C29" s="24">
        <v>29.766925770772719</v>
      </c>
      <c r="D29" s="24"/>
      <c r="E29" s="24">
        <v>15.123813020339014</v>
      </c>
      <c r="F29" s="24"/>
      <c r="G29" s="24">
        <v>75.856818146367672</v>
      </c>
      <c r="H29" s="24"/>
      <c r="I29" s="24">
        <v>118.12102058038444</v>
      </c>
      <c r="J29" s="24"/>
      <c r="K29" s="24">
        <v>290.53089491321936</v>
      </c>
      <c r="M29" s="73">
        <v>28.313448911941617</v>
      </c>
    </row>
    <row r="30" spans="1:13">
      <c r="A30" s="77">
        <v>2039</v>
      </c>
      <c r="B30" s="24"/>
      <c r="C30" s="24">
        <v>31.079650439095214</v>
      </c>
      <c r="D30" s="24"/>
      <c r="E30" s="24">
        <v>15.823101772133992</v>
      </c>
      <c r="F30" s="24"/>
      <c r="G30" s="24">
        <v>76.728384021582031</v>
      </c>
      <c r="H30" s="24"/>
      <c r="I30" s="24">
        <v>119.09067586390519</v>
      </c>
      <c r="J30" s="24"/>
      <c r="K30" s="24">
        <v>302.65696656526319</v>
      </c>
      <c r="M30" s="73">
        <v>29.325860393475089</v>
      </c>
    </row>
    <row r="31" spans="1:13">
      <c r="A31" s="77">
        <v>2040</v>
      </c>
      <c r="B31" s="24"/>
      <c r="C31" s="24">
        <v>32.45026640825585</v>
      </c>
      <c r="D31" s="24"/>
      <c r="E31" s="24">
        <v>16.554723954508237</v>
      </c>
      <c r="F31" s="24"/>
      <c r="G31" s="24">
        <v>77.609963855902791</v>
      </c>
      <c r="H31" s="24"/>
      <c r="I31" s="24">
        <v>120.06829104621609</v>
      </c>
      <c r="J31" s="24"/>
      <c r="K31" s="24">
        <v>315.28915173667798</v>
      </c>
      <c r="M31" s="73">
        <v>30.374472940131934</v>
      </c>
    </row>
    <row r="32" spans="1:13">
      <c r="A32" s="77">
        <v>2041</v>
      </c>
      <c r="B32" s="24"/>
      <c r="C32" s="24">
        <v>33.881326690925889</v>
      </c>
      <c r="D32" s="24"/>
      <c r="E32" s="24">
        <v>17.320174587552298</v>
      </c>
      <c r="F32" s="24"/>
      <c r="G32" s="24">
        <v>78.501672705895785</v>
      </c>
      <c r="H32" s="24"/>
      <c r="I32" s="24">
        <v>121.05393147011543</v>
      </c>
      <c r="J32" s="24"/>
      <c r="K32" s="24">
        <v>328.44857440741691</v>
      </c>
      <c r="M32" s="73">
        <v>31.460581002973225</v>
      </c>
    </row>
    <row r="33" spans="1:13">
      <c r="A33" s="77">
        <v>2042</v>
      </c>
      <c r="B33" s="24"/>
      <c r="C33" s="24">
        <v>35.375496887914863</v>
      </c>
      <c r="D33" s="24"/>
      <c r="E33" s="24">
        <v>18.121017817491214</v>
      </c>
      <c r="F33" s="24"/>
      <c r="G33" s="24">
        <v>79.403626950083947</v>
      </c>
      <c r="H33" s="24"/>
      <c r="I33" s="24">
        <v>122.04766301479911</v>
      </c>
      <c r="J33" s="24"/>
      <c r="K33" s="24">
        <v>342.15724022234048</v>
      </c>
      <c r="M33" s="73">
        <v>32.585525319089029</v>
      </c>
    </row>
    <row r="34" spans="1:13">
      <c r="A34" s="77">
        <v>2043</v>
      </c>
      <c r="B34" s="24"/>
      <c r="C34" s="24">
        <v>36.935560153316366</v>
      </c>
      <c r="D34" s="24"/>
      <c r="E34" s="24">
        <v>18.958890112910797</v>
      </c>
      <c r="F34" s="24"/>
      <c r="G34" s="24">
        <v>80.315944304133922</v>
      </c>
      <c r="H34" s="24"/>
      <c r="I34" s="24">
        <v>123.04955210026569</v>
      </c>
      <c r="J34" s="24"/>
      <c r="K34" s="24">
        <v>356.43807328982194</v>
      </c>
      <c r="M34" s="73">
        <v>33.75069456665878</v>
      </c>
    </row>
    <row r="35" spans="1:13">
      <c r="A35" s="77">
        <v>2044</v>
      </c>
      <c r="B35" s="24"/>
      <c r="C35" s="24">
        <v>38.56442237862467</v>
      </c>
      <c r="D35" s="24"/>
      <c r="E35" s="24">
        <v>19.835503608769965</v>
      </c>
      <c r="F35" s="24"/>
      <c r="G35" s="24">
        <v>81.238743836221232</v>
      </c>
      <c r="H35" s="24"/>
      <c r="I35" s="24">
        <v>124.05966569175543</v>
      </c>
      <c r="J35" s="24"/>
      <c r="K35" s="24">
        <v>371.31495451624505</v>
      </c>
      <c r="M35" s="73">
        <v>34.95752707919678</v>
      </c>
    </row>
    <row r="36" spans="1:13">
      <c r="A36" s="77">
        <v>2045</v>
      </c>
      <c r="B36" s="24"/>
      <c r="C36" s="24">
        <v>40.265117605463253</v>
      </c>
      <c r="D36" s="24"/>
      <c r="E36" s="24">
        <v>20.752649605030808</v>
      </c>
      <c r="F36" s="24"/>
      <c r="G36" s="24">
        <v>82.17214598256929</v>
      </c>
      <c r="H36" s="24"/>
      <c r="I36" s="24">
        <v>125.07807130422611</v>
      </c>
      <c r="J36" s="24"/>
      <c r="K36" s="24">
        <v>386.8127615404664</v>
      </c>
      <c r="M36" s="73">
        <v>36.207512621087247</v>
      </c>
    </row>
    <row r="37" spans="1:13">
      <c r="A37" s="77">
        <v>2046</v>
      </c>
      <c r="B37" s="24"/>
      <c r="C37" s="24">
        <v>42.040813677023877</v>
      </c>
      <c r="D37" s="24"/>
      <c r="E37" s="24">
        <v>21.712202227059667</v>
      </c>
      <c r="F37" s="24"/>
      <c r="G37" s="24">
        <v>83.116272563166831</v>
      </c>
      <c r="H37" s="24"/>
      <c r="I37" s="24">
        <v>126.10483700686575</v>
      </c>
      <c r="J37" s="24"/>
      <c r="K37" s="24">
        <v>402.95741033510046</v>
      </c>
      <c r="M37" s="73">
        <v>37.502194226615039</v>
      </c>
    </row>
    <row r="38" spans="1:13">
      <c r="A38" s="77">
        <v>2047</v>
      </c>
      <c r="B38" s="24"/>
      <c r="C38" s="24">
        <v>43.894818138725732</v>
      </c>
      <c r="D38" s="24"/>
      <c r="E38" s="24">
        <v>22.716122255273582</v>
      </c>
      <c r="F38" s="24"/>
      <c r="G38" s="24">
        <v>84.071246797668962</v>
      </c>
      <c r="H38" s="24"/>
      <c r="I38" s="24">
        <v>127.1400314276422</v>
      </c>
      <c r="J38" s="24"/>
      <c r="K38" s="24">
        <v>419.77589854409109</v>
      </c>
      <c r="M38" s="73">
        <v>38.843170104750108</v>
      </c>
    </row>
    <row r="39" spans="1:13">
      <c r="A39" s="77">
        <v>2048</v>
      </c>
      <c r="B39" s="24"/>
      <c r="C39" s="24">
        <v>45.830584399103621</v>
      </c>
      <c r="D39" s="24"/>
      <c r="E39" s="24">
        <v>23.76646113186175</v>
      </c>
      <c r="F39" s="24"/>
      <c r="G39" s="24">
        <v>85.037193321476352</v>
      </c>
      <c r="H39" s="24"/>
      <c r="I39" s="24">
        <v>128.18372375789014</v>
      </c>
      <c r="J39" s="24"/>
      <c r="K39" s="24">
        <v>437.29635062911694</v>
      </c>
      <c r="M39" s="73">
        <v>40.232095612041611</v>
      </c>
    </row>
    <row r="40" spans="1:13">
      <c r="A40" s="77">
        <v>2049</v>
      </c>
      <c r="B40" s="24"/>
      <c r="C40" s="24">
        <v>47.851718162382987</v>
      </c>
      <c r="D40" s="24"/>
      <c r="E40" s="24">
        <v>24.865365152767907</v>
      </c>
      <c r="F40" s="24"/>
      <c r="G40" s="24">
        <v>86.014238202003739</v>
      </c>
      <c r="H40" s="24"/>
      <c r="I40" s="24">
        <v>129.23598375693595</v>
      </c>
      <c r="J40" s="24"/>
      <c r="K40" s="24">
        <v>455.54806490029586</v>
      </c>
      <c r="M40" s="73">
        <v>41.670685296062317</v>
      </c>
    </row>
    <row r="41" spans="1:13">
      <c r="A41" s="77">
        <v>2050</v>
      </c>
      <c r="B41" s="24"/>
      <c r="C41" s="24">
        <v>49.96198414473821</v>
      </c>
      <c r="D41" s="24"/>
      <c r="E41" s="24">
        <v>26.015079853499884</v>
      </c>
      <c r="F41" s="24"/>
      <c r="G41" s="24">
        <v>87.002508955132328</v>
      </c>
      <c r="H41" s="24"/>
      <c r="I41" s="24">
        <v>130.29688175676006</v>
      </c>
      <c r="J41" s="24"/>
      <c r="K41" s="24">
        <v>474.56156250983895</v>
      </c>
      <c r="M41" s="73">
        <v>43.160715011916118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78"/>
  <sheetViews>
    <sheetView workbookViewId="0">
      <selection activeCell="I17" sqref="I17"/>
    </sheetView>
  </sheetViews>
  <sheetFormatPr baseColWidth="10" defaultColWidth="8.83203125" defaultRowHeight="15"/>
  <cols>
    <col min="3" max="3" width="8.83203125" style="5"/>
  </cols>
  <sheetData>
    <row r="1" spans="1:4">
      <c r="A1" s="1" t="s">
        <v>0</v>
      </c>
      <c r="B1" s="1" t="s">
        <v>2</v>
      </c>
      <c r="C1" s="4" t="s">
        <v>3</v>
      </c>
      <c r="D1" s="1"/>
    </row>
    <row r="2" spans="1:4">
      <c r="A2" s="1">
        <v>1948</v>
      </c>
      <c r="B2" s="1">
        <v>25464</v>
      </c>
      <c r="C2" s="4">
        <v>1.0999999999999999E-2</v>
      </c>
      <c r="D2" s="1"/>
    </row>
    <row r="3" spans="1:4">
      <c r="A3" s="1">
        <v>1949</v>
      </c>
      <c r="B3" s="1">
        <v>26433</v>
      </c>
      <c r="C3" s="4">
        <v>1.1000000000000001E-2</v>
      </c>
      <c r="D3" s="1"/>
    </row>
    <row r="4" spans="1:4">
      <c r="A4" s="1">
        <v>1950</v>
      </c>
      <c r="B4" s="1">
        <v>29813</v>
      </c>
      <c r="C4" s="4">
        <v>1.3000000000000001E-2</v>
      </c>
      <c r="D4" s="1"/>
    </row>
    <row r="5" spans="1:4">
      <c r="A5" s="1">
        <v>1951</v>
      </c>
      <c r="B5" s="1">
        <v>30462</v>
      </c>
      <c r="C5" s="4">
        <v>1.3999999999999999E-2</v>
      </c>
      <c r="D5" s="1"/>
    </row>
    <row r="6" spans="1:4">
      <c r="A6" s="1">
        <v>1952</v>
      </c>
      <c r="B6" s="1">
        <v>33675</v>
      </c>
      <c r="C6" s="4">
        <v>1.6E-2</v>
      </c>
      <c r="D6" s="1"/>
    </row>
    <row r="7" spans="1:4">
      <c r="A7" s="1">
        <v>1953</v>
      </c>
      <c r="B7" s="1">
        <v>33833</v>
      </c>
      <c r="C7" s="4">
        <v>1.4999999999999999E-2</v>
      </c>
      <c r="D7" s="1"/>
    </row>
    <row r="8" spans="1:4">
      <c r="A8" s="1">
        <v>1954</v>
      </c>
      <c r="B8" s="1">
        <v>34232</v>
      </c>
      <c r="C8" s="4">
        <v>1.3999999999999999E-2</v>
      </c>
      <c r="D8" s="1"/>
    </row>
    <row r="9" spans="1:4">
      <c r="A9" s="1">
        <v>1955</v>
      </c>
      <c r="B9" s="1">
        <v>36494</v>
      </c>
      <c r="C9" s="4">
        <v>1.3999999999999999E-2</v>
      </c>
      <c r="D9" s="1"/>
    </row>
    <row r="10" spans="1:4">
      <c r="A10" s="1">
        <v>1956</v>
      </c>
      <c r="B10" s="1">
        <v>40666</v>
      </c>
      <c r="C10" s="4">
        <v>1.3999999999999999E-2</v>
      </c>
      <c r="D10" s="1"/>
    </row>
    <row r="11" spans="1:4">
      <c r="A11" s="1">
        <v>1957</v>
      </c>
      <c r="B11" s="1">
        <v>43391</v>
      </c>
      <c r="C11" s="4">
        <v>1.3000000000000001E-2</v>
      </c>
      <c r="D11" s="1"/>
    </row>
    <row r="12" spans="1:4">
      <c r="A12" s="1">
        <v>1958</v>
      </c>
      <c r="B12">
        <v>47245</v>
      </c>
    </row>
    <row r="13" spans="1:4">
      <c r="A13" s="1">
        <v>1959</v>
      </c>
      <c r="B13">
        <v>48486</v>
      </c>
      <c r="C13" s="5">
        <v>1.3000000000000001E-2</v>
      </c>
    </row>
    <row r="14" spans="1:4">
      <c r="A14" s="1">
        <v>1960</v>
      </c>
      <c r="B14">
        <v>53107</v>
      </c>
    </row>
    <row r="15" spans="1:4">
      <c r="A15" s="1">
        <v>1961</v>
      </c>
      <c r="B15">
        <v>58086</v>
      </c>
      <c r="C15" s="5">
        <v>1.3999999999999999E-2</v>
      </c>
    </row>
    <row r="16" spans="1:4">
      <c r="A16" s="1">
        <v>1962</v>
      </c>
      <c r="B16">
        <v>64705</v>
      </c>
    </row>
    <row r="17" spans="1:5">
      <c r="A17" s="1">
        <v>1963</v>
      </c>
      <c r="B17">
        <v>74814</v>
      </c>
      <c r="C17" s="5">
        <v>1.6E-2</v>
      </c>
    </row>
    <row r="18" spans="1:5">
      <c r="A18" s="1">
        <v>1964</v>
      </c>
      <c r="B18">
        <v>82045</v>
      </c>
      <c r="C18" s="5">
        <v>1.6E-2</v>
      </c>
    </row>
    <row r="19" spans="1:5">
      <c r="A19" s="1">
        <v>1965</v>
      </c>
      <c r="B19" s="1">
        <v>82709</v>
      </c>
      <c r="C19" s="4">
        <v>1.3999999999999999E-2</v>
      </c>
      <c r="D19" s="1"/>
      <c r="E19" s="1"/>
    </row>
    <row r="20" spans="1:5">
      <c r="A20" s="1">
        <v>1966</v>
      </c>
      <c r="B20" s="1">
        <v>100262</v>
      </c>
      <c r="C20" s="4">
        <v>1.6E-2</v>
      </c>
      <c r="D20" s="1"/>
      <c r="E20" s="1"/>
    </row>
    <row r="21" spans="1:5">
      <c r="A21" s="1">
        <v>1967</v>
      </c>
      <c r="B21" s="1">
        <v>110315</v>
      </c>
      <c r="C21" s="4">
        <v>1.6E-2</v>
      </c>
      <c r="D21" s="1"/>
      <c r="E21" s="1"/>
    </row>
    <row r="22" spans="1:5">
      <c r="A22" s="1">
        <v>1968</v>
      </c>
      <c r="B22" s="1">
        <v>121362</v>
      </c>
      <c r="C22" s="4">
        <v>1.6E-2</v>
      </c>
      <c r="D22" s="1"/>
      <c r="E22" s="1"/>
    </row>
    <row r="23" spans="1:5">
      <c r="A23" s="1">
        <v>1969</v>
      </c>
      <c r="B23" s="1">
        <v>134959</v>
      </c>
      <c r="C23" s="4">
        <v>1.7000000000000001E-2</v>
      </c>
      <c r="D23" s="1"/>
      <c r="E23" s="1"/>
    </row>
    <row r="24" spans="1:5">
      <c r="A24" s="1">
        <v>1970</v>
      </c>
      <c r="B24" s="1">
        <v>144708</v>
      </c>
      <c r="C24" s="4">
        <v>1.7000000000000001E-2</v>
      </c>
      <c r="D24" s="1"/>
      <c r="E24" s="1"/>
    </row>
    <row r="25" spans="1:5">
      <c r="A25" s="1">
        <v>1971</v>
      </c>
      <c r="B25" s="1">
        <v>140126</v>
      </c>
      <c r="C25" s="4">
        <v>1.6E-2</v>
      </c>
      <c r="D25" s="1"/>
      <c r="E25" s="1"/>
    </row>
    <row r="26" spans="1:5">
      <c r="A26" s="1">
        <v>1972</v>
      </c>
      <c r="B26" s="1">
        <v>146097</v>
      </c>
      <c r="C26" s="4">
        <v>1.6E-2</v>
      </c>
      <c r="D26" s="1"/>
      <c r="E26" s="1"/>
    </row>
    <row r="27" spans="1:5">
      <c r="A27" s="1">
        <v>1973</v>
      </c>
      <c r="B27" s="1">
        <v>151066</v>
      </c>
      <c r="C27" s="4">
        <v>1.6E-2</v>
      </c>
      <c r="D27" s="1"/>
      <c r="E27" s="1"/>
    </row>
    <row r="28" spans="1:5">
      <c r="A28" s="1">
        <v>1974</v>
      </c>
      <c r="B28" s="1">
        <v>154580</v>
      </c>
      <c r="C28" s="4">
        <v>1.4999999999999999E-2</v>
      </c>
      <c r="D28" s="1"/>
      <c r="E28" s="1"/>
    </row>
    <row r="29" spans="1:5">
      <c r="A29" s="1">
        <v>1975</v>
      </c>
      <c r="B29" s="1">
        <v>179344</v>
      </c>
      <c r="C29" s="4">
        <v>1.6E-2</v>
      </c>
      <c r="D29" s="1"/>
      <c r="E29" s="1"/>
    </row>
    <row r="30" spans="1:5">
      <c r="A30" s="1">
        <v>1976</v>
      </c>
      <c r="B30" s="1">
        <v>203068</v>
      </c>
      <c r="C30" s="4">
        <v>1.8000000000000002E-2</v>
      </c>
      <c r="D30" s="1"/>
      <c r="E30" s="1"/>
    </row>
    <row r="31" spans="1:5">
      <c r="A31" s="1">
        <v>1977</v>
      </c>
      <c r="B31">
        <v>235509</v>
      </c>
      <c r="C31" s="5">
        <v>2.1000000000000001E-2</v>
      </c>
    </row>
    <row r="32" spans="1:5">
      <c r="A32" s="1">
        <v>1978</v>
      </c>
      <c r="B32">
        <v>263938</v>
      </c>
      <c r="C32" s="5">
        <v>2.3E-2</v>
      </c>
    </row>
    <row r="33" spans="1:3">
      <c r="A33" s="1">
        <v>1979</v>
      </c>
      <c r="B33">
        <v>286343</v>
      </c>
      <c r="C33" s="5">
        <v>2.5000000000000001E-2</v>
      </c>
    </row>
    <row r="34" spans="1:3">
      <c r="A34" s="1">
        <v>1980</v>
      </c>
      <c r="B34">
        <v>311882</v>
      </c>
      <c r="C34" s="5">
        <v>2.6000000000000002E-2</v>
      </c>
    </row>
    <row r="35" spans="1:3">
      <c r="A35" s="1">
        <v>1981</v>
      </c>
      <c r="B35">
        <v>326299</v>
      </c>
      <c r="C35" s="5">
        <v>2.6000000000000002E-2</v>
      </c>
    </row>
    <row r="36" spans="1:3">
      <c r="A36" s="1">
        <v>1982</v>
      </c>
      <c r="B36">
        <v>336985</v>
      </c>
      <c r="C36" s="5">
        <v>2.7000000000000003E-2</v>
      </c>
    </row>
    <row r="37" spans="1:3">
      <c r="A37" s="1">
        <v>1983</v>
      </c>
      <c r="B37">
        <v>338894</v>
      </c>
      <c r="C37" s="5">
        <v>2.7000000000000003E-2</v>
      </c>
    </row>
    <row r="38" spans="1:3">
      <c r="A38" s="1">
        <v>1984</v>
      </c>
      <c r="B38">
        <v>342113</v>
      </c>
      <c r="C38" s="5">
        <v>2.7999999999999997E-2</v>
      </c>
    </row>
    <row r="39" spans="1:3">
      <c r="A39" s="1">
        <v>1985</v>
      </c>
      <c r="B39">
        <v>343777</v>
      </c>
      <c r="C39" s="5">
        <v>2.7999999999999997E-2</v>
      </c>
    </row>
    <row r="40" spans="1:3">
      <c r="A40" s="1">
        <v>1986</v>
      </c>
      <c r="B40">
        <v>349609</v>
      </c>
      <c r="C40" s="5">
        <v>2.7999999999999997E-2</v>
      </c>
    </row>
    <row r="41" spans="1:3">
      <c r="A41" s="1">
        <v>1987</v>
      </c>
      <c r="B41">
        <v>356187</v>
      </c>
      <c r="C41" s="5">
        <v>2.7999999999999997E-2</v>
      </c>
    </row>
    <row r="42" spans="1:3">
      <c r="A42" s="1">
        <v>1988</v>
      </c>
      <c r="B42">
        <v>366354</v>
      </c>
      <c r="C42" s="5">
        <v>2.7999999999999997E-2</v>
      </c>
    </row>
    <row r="43" spans="1:3">
      <c r="A43" s="1">
        <v>1989</v>
      </c>
      <c r="B43">
        <v>386851</v>
      </c>
      <c r="C43" s="5">
        <v>2.8999999999999998E-2</v>
      </c>
    </row>
    <row r="44" spans="1:3">
      <c r="A44" s="1">
        <v>1990</v>
      </c>
      <c r="B44">
        <v>407529</v>
      </c>
      <c r="C44" s="5">
        <v>2.8999999999999998E-2</v>
      </c>
    </row>
    <row r="45" spans="1:3">
      <c r="A45" s="1">
        <v>1991</v>
      </c>
      <c r="B45">
        <v>419585</v>
      </c>
      <c r="C45" s="5">
        <v>2.8999999999999998E-2</v>
      </c>
    </row>
    <row r="46" spans="1:3">
      <c r="A46" s="1">
        <v>1992</v>
      </c>
      <c r="B46">
        <v>438618</v>
      </c>
      <c r="C46" s="5">
        <v>0.03</v>
      </c>
    </row>
    <row r="47" spans="1:3">
      <c r="A47" s="1">
        <v>1993</v>
      </c>
      <c r="B47">
        <v>449749</v>
      </c>
      <c r="C47" s="5">
        <v>3.1E-2</v>
      </c>
    </row>
    <row r="48" spans="1:3">
      <c r="A48" s="1">
        <v>1994</v>
      </c>
      <c r="B48">
        <v>452635</v>
      </c>
      <c r="C48" s="5">
        <v>3.2000000000000001E-2</v>
      </c>
    </row>
    <row r="49" spans="1:3">
      <c r="A49" s="1">
        <v>1995</v>
      </c>
      <c r="B49">
        <v>453787</v>
      </c>
      <c r="C49" s="5">
        <v>3.2000000000000001E-2</v>
      </c>
    </row>
    <row r="50" spans="1:3">
      <c r="A50" s="1">
        <v>1996</v>
      </c>
      <c r="B50">
        <v>457984</v>
      </c>
      <c r="C50" s="5">
        <v>3.2000000000000001E-2</v>
      </c>
    </row>
    <row r="51" spans="1:3">
      <c r="A51" s="1">
        <v>1997</v>
      </c>
      <c r="B51">
        <v>481280</v>
      </c>
      <c r="C51" s="5">
        <v>3.3000000000000002E-2</v>
      </c>
    </row>
    <row r="52" spans="1:3">
      <c r="A52" s="1">
        <v>1998</v>
      </c>
      <c r="B52">
        <v>490933</v>
      </c>
      <c r="C52" s="5">
        <v>3.4000000000000002E-2</v>
      </c>
    </row>
    <row r="53" spans="1:3">
      <c r="A53" s="1">
        <v>1999</v>
      </c>
      <c r="B53">
        <v>514723</v>
      </c>
      <c r="C53" s="5">
        <v>3.5000000000000003E-2</v>
      </c>
    </row>
    <row r="54" spans="1:3">
      <c r="A54" s="1">
        <v>2000</v>
      </c>
      <c r="B54">
        <v>547867</v>
      </c>
      <c r="C54" s="5">
        <v>3.6000000000000004E-2</v>
      </c>
    </row>
    <row r="55" spans="1:3">
      <c r="A55" s="1">
        <v>2001</v>
      </c>
      <c r="B55">
        <v>582996</v>
      </c>
      <c r="C55" s="5">
        <v>3.7000000000000005E-2</v>
      </c>
    </row>
    <row r="56" spans="1:3">
      <c r="A56" s="1">
        <v>2002</v>
      </c>
      <c r="B56">
        <v>586323</v>
      </c>
      <c r="C56" s="5">
        <v>3.5000000000000003E-2</v>
      </c>
    </row>
    <row r="57" spans="1:3">
      <c r="A57" s="1">
        <v>2003</v>
      </c>
      <c r="B57">
        <v>572509</v>
      </c>
      <c r="C57" s="5">
        <v>3.4000000000000002E-2</v>
      </c>
    </row>
    <row r="58" spans="1:3">
      <c r="A58" s="1">
        <v>2004</v>
      </c>
      <c r="B58">
        <v>565039</v>
      </c>
      <c r="C58" s="5">
        <v>3.3000000000000002E-2</v>
      </c>
    </row>
    <row r="59" spans="1:3">
      <c r="A59" s="1">
        <v>2005</v>
      </c>
      <c r="B59">
        <v>564766</v>
      </c>
      <c r="C59" s="5">
        <v>3.2000000000000001E-2</v>
      </c>
    </row>
    <row r="60" spans="1:3">
      <c r="A60" s="1">
        <v>2006</v>
      </c>
      <c r="B60">
        <v>582984</v>
      </c>
      <c r="C60" s="5">
        <v>3.3000000000000002E-2</v>
      </c>
    </row>
    <row r="61" spans="1:3">
      <c r="A61" s="1">
        <v>2007</v>
      </c>
      <c r="B61">
        <v>623805</v>
      </c>
      <c r="C61" s="5">
        <v>3.4000000000000002E-2</v>
      </c>
    </row>
    <row r="62" spans="1:3">
      <c r="A62" s="1">
        <v>2008</v>
      </c>
      <c r="B62">
        <v>671616</v>
      </c>
      <c r="C62" s="5">
        <v>3.5000000000000003E-2</v>
      </c>
    </row>
    <row r="63" spans="1:3">
      <c r="A63" s="1">
        <v>2009</v>
      </c>
      <c r="B63">
        <v>690923</v>
      </c>
      <c r="C63" s="5">
        <v>3.4000000000000002E-2</v>
      </c>
    </row>
    <row r="64" spans="1:3">
      <c r="A64" s="1">
        <v>2010</v>
      </c>
      <c r="B64">
        <v>723277</v>
      </c>
      <c r="C64" s="5">
        <v>3.5000000000000003E-2</v>
      </c>
    </row>
    <row r="65" spans="1:3">
      <c r="A65" s="1">
        <v>2011</v>
      </c>
      <c r="B65">
        <v>764495</v>
      </c>
      <c r="C65" s="5">
        <v>3.7000000000000005E-2</v>
      </c>
    </row>
    <row r="66" spans="1:3">
      <c r="A66" s="1">
        <v>2012</v>
      </c>
      <c r="B66">
        <v>819644</v>
      </c>
      <c r="C66" s="5">
        <v>3.9E-2</v>
      </c>
    </row>
    <row r="67" spans="1:3">
      <c r="A67" s="1">
        <v>2013</v>
      </c>
      <c r="B67">
        <v>886052</v>
      </c>
      <c r="C67" s="5">
        <v>4.2000000000000003E-2</v>
      </c>
    </row>
    <row r="68" spans="1:3">
      <c r="A68" s="1">
        <v>2014</v>
      </c>
      <c r="B68">
        <v>974926</v>
      </c>
      <c r="C68" s="5">
        <v>4.8000000000000001E-2</v>
      </c>
    </row>
    <row r="69" spans="1:3">
      <c r="A69" s="1">
        <v>2015</v>
      </c>
      <c r="B69">
        <v>1043839</v>
      </c>
      <c r="C69" s="5">
        <v>5.2000000000000005E-2</v>
      </c>
    </row>
    <row r="70" spans="1:3">
      <c r="A70" s="1">
        <v>2016</v>
      </c>
      <c r="B70">
        <v>1078822</v>
      </c>
      <c r="C70" s="5">
        <v>5.2999999999999999E-2</v>
      </c>
    </row>
    <row r="71" spans="1:3">
      <c r="A71" s="1">
        <v>2017</v>
      </c>
      <c r="B71">
        <v>1094792</v>
      </c>
      <c r="C71" s="5">
        <v>5.5E-2</v>
      </c>
    </row>
    <row r="72" spans="1:3">
      <c r="A72" s="1">
        <v>2018</v>
      </c>
      <c r="B72">
        <v>1095299</v>
      </c>
      <c r="C72" s="5">
        <v>5.5E-2</v>
      </c>
    </row>
    <row r="73" spans="1:3">
      <c r="A73" s="1">
        <v>2019</v>
      </c>
      <c r="B73">
        <v>1075496</v>
      </c>
      <c r="C73" s="5">
        <v>5.5E-2</v>
      </c>
    </row>
    <row r="74" spans="1:3">
      <c r="A74" s="1">
        <v>2020</v>
      </c>
      <c r="B74">
        <v>914095</v>
      </c>
      <c r="C74" s="5">
        <v>4.5999999999999999E-2</v>
      </c>
    </row>
    <row r="75" spans="1:3">
      <c r="A75" s="1">
        <v>2021</v>
      </c>
      <c r="B75">
        <v>948519</v>
      </c>
      <c r="C75" s="5">
        <v>4.7E-2</v>
      </c>
    </row>
    <row r="76" spans="1:3">
      <c r="A76" s="1">
        <v>2022</v>
      </c>
      <c r="B76">
        <v>1057188</v>
      </c>
      <c r="C76" s="5">
        <v>5.5999999999999994E-2</v>
      </c>
    </row>
    <row r="77" spans="1:3">
      <c r="A77" s="1">
        <v>2023</v>
      </c>
      <c r="B77">
        <v>1126690</v>
      </c>
      <c r="C77" s="5">
        <v>5.9000000000000004E-2</v>
      </c>
    </row>
    <row r="78" spans="1:3">
      <c r="A78" s="1">
        <v>2024</v>
      </c>
      <c r="B78">
        <v>1177766</v>
      </c>
      <c r="C78" s="5">
        <v>6.0999999999999999E-2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0"/>
  <sheetViews>
    <sheetView zoomScale="93" zoomScaleNormal="100" workbookViewId="0">
      <selection activeCell="D44" sqref="D44"/>
    </sheetView>
  </sheetViews>
  <sheetFormatPr baseColWidth="10" defaultColWidth="8.83203125" defaultRowHeight="15"/>
  <cols>
    <col min="1" max="1" width="9" bestFit="1" customWidth="1"/>
    <col min="2" max="2" width="15" customWidth="1"/>
    <col min="3" max="3" width="9" bestFit="1" customWidth="1"/>
  </cols>
  <sheetData>
    <row r="1" spans="1:2" ht="15" customHeight="1">
      <c r="A1" t="s">
        <v>0</v>
      </c>
      <c r="B1" t="s">
        <v>1</v>
      </c>
    </row>
    <row r="2" spans="1:2">
      <c r="A2">
        <v>1999</v>
      </c>
      <c r="B2">
        <v>8885000000</v>
      </c>
    </row>
    <row r="3" spans="1:2">
      <c r="A3">
        <v>2000</v>
      </c>
      <c r="B3">
        <v>9695000000</v>
      </c>
    </row>
    <row r="4" spans="1:2">
      <c r="A4">
        <v>2001</v>
      </c>
      <c r="B4">
        <v>10729000000</v>
      </c>
    </row>
    <row r="5" spans="1:2">
      <c r="A5">
        <v>2002</v>
      </c>
      <c r="B5">
        <v>11439000000</v>
      </c>
    </row>
    <row r="6" spans="1:2">
      <c r="A6">
        <v>2003</v>
      </c>
      <c r="B6">
        <v>11815000000</v>
      </c>
    </row>
    <row r="7" spans="1:2">
      <c r="A7">
        <v>2004</v>
      </c>
      <c r="B7">
        <v>12221000000</v>
      </c>
    </row>
    <row r="8" spans="1:2">
      <c r="A8">
        <v>2005</v>
      </c>
      <c r="B8">
        <v>12637000000</v>
      </c>
    </row>
    <row r="9" spans="1:2">
      <c r="A9">
        <v>2006</v>
      </c>
      <c r="B9">
        <v>13047000000</v>
      </c>
    </row>
    <row r="10" spans="1:2">
      <c r="A10">
        <v>2007</v>
      </c>
      <c r="B10">
        <v>14206000000</v>
      </c>
    </row>
    <row r="11" spans="1:2">
      <c r="A11">
        <v>2008</v>
      </c>
      <c r="B11">
        <v>15542000000</v>
      </c>
    </row>
    <row r="12" spans="1:2">
      <c r="A12">
        <v>2009</v>
      </c>
      <c r="B12">
        <v>17006000000</v>
      </c>
    </row>
    <row r="13" spans="1:2">
      <c r="A13">
        <v>2010</v>
      </c>
      <c r="B13">
        <v>18365000000</v>
      </c>
    </row>
    <row r="14" spans="1:2">
      <c r="A14">
        <v>2011</v>
      </c>
      <c r="B14">
        <v>20525000000</v>
      </c>
    </row>
    <row r="15" spans="1:2">
      <c r="A15">
        <v>2012</v>
      </c>
      <c r="B15">
        <v>23062000000</v>
      </c>
    </row>
    <row r="16" spans="1:2">
      <c r="A16">
        <v>2013</v>
      </c>
      <c r="B16">
        <v>26153000000</v>
      </c>
    </row>
    <row r="17" spans="1:5">
      <c r="A17">
        <v>2014</v>
      </c>
      <c r="B17">
        <v>30272000000</v>
      </c>
    </row>
    <row r="18" spans="1:5">
      <c r="A18">
        <v>2015</v>
      </c>
      <c r="B18">
        <v>35284000000</v>
      </c>
    </row>
    <row r="19" spans="1:5">
      <c r="A19" s="1">
        <v>2016</v>
      </c>
      <c r="B19" s="1">
        <v>40135000000</v>
      </c>
      <c r="C19" s="1"/>
      <c r="D19" s="1"/>
      <c r="E19" s="1"/>
    </row>
    <row r="20" spans="1:5">
      <c r="A20" s="1">
        <v>2017</v>
      </c>
      <c r="B20" s="1">
        <v>44825000000</v>
      </c>
      <c r="C20" s="1"/>
      <c r="D20" s="1"/>
      <c r="E20" s="1"/>
    </row>
    <row r="21" spans="1:5">
      <c r="A21" s="1">
        <v>2018</v>
      </c>
      <c r="B21" s="1">
        <v>47263000000</v>
      </c>
      <c r="C21" s="1"/>
      <c r="D21" s="1"/>
      <c r="E21" s="1"/>
    </row>
    <row r="22" spans="1:5">
      <c r="A22" s="1">
        <v>2019</v>
      </c>
      <c r="B22" s="1">
        <v>47857000000</v>
      </c>
      <c r="C22" s="1"/>
      <c r="D22" s="1"/>
      <c r="E22" s="1"/>
    </row>
    <row r="23" spans="1:5">
      <c r="A23" s="1">
        <v>2020</v>
      </c>
      <c r="B23" s="1">
        <v>38710000000</v>
      </c>
      <c r="C23" s="1"/>
      <c r="D23" s="1"/>
      <c r="E23" s="1"/>
    </row>
    <row r="24" spans="1:5">
      <c r="A24" s="1">
        <v>2021</v>
      </c>
      <c r="B24" s="1">
        <v>32918000000</v>
      </c>
      <c r="C24" s="1"/>
      <c r="D24" s="1"/>
      <c r="E24" s="1"/>
    </row>
    <row r="25" spans="1:5">
      <c r="A25" s="1">
        <v>2022</v>
      </c>
      <c r="B25" s="1">
        <v>39816000000</v>
      </c>
      <c r="C25" s="1"/>
      <c r="D25" s="1"/>
      <c r="E25" s="1"/>
    </row>
    <row r="26" spans="1:5">
      <c r="A26" s="1">
        <v>2023</v>
      </c>
      <c r="B26" s="1">
        <v>49278000000</v>
      </c>
      <c r="C26" s="1"/>
      <c r="D26" s="1"/>
      <c r="E26" s="1"/>
    </row>
    <row r="27" spans="1:5">
      <c r="A27" s="1">
        <v>2024</v>
      </c>
      <c r="B27" s="1">
        <v>54845000000</v>
      </c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61"/>
  <sheetViews>
    <sheetView zoomScale="125" zoomScaleNormal="125" workbookViewId="0">
      <selection activeCell="A2" sqref="A2"/>
    </sheetView>
  </sheetViews>
  <sheetFormatPr baseColWidth="10" defaultColWidth="8.83203125" defaultRowHeight="15"/>
  <sheetData>
    <row r="1" spans="1:6">
      <c r="A1" t="s">
        <v>0</v>
      </c>
      <c r="B1" t="s">
        <v>506</v>
      </c>
      <c r="C1" t="s">
        <v>510</v>
      </c>
      <c r="D1" t="s">
        <v>511</v>
      </c>
      <c r="E1" t="s">
        <v>507</v>
      </c>
      <c r="F1" s="1" t="s">
        <v>509</v>
      </c>
    </row>
    <row r="2" spans="1:6">
      <c r="A2">
        <v>1998</v>
      </c>
      <c r="B2">
        <v>490933</v>
      </c>
      <c r="C2" s="78">
        <v>158305</v>
      </c>
      <c r="D2" s="80">
        <v>37255</v>
      </c>
      <c r="E2" s="25">
        <f>C2/B2</f>
        <v>0.32245744327637377</v>
      </c>
      <c r="F2" s="79">
        <f>(D2+C2)/B2</f>
        <v>0.39834356215613942</v>
      </c>
    </row>
    <row r="3" spans="1:6">
      <c r="A3">
        <v>1999</v>
      </c>
      <c r="B3">
        <v>514723</v>
      </c>
      <c r="C3" s="78">
        <v>171520</v>
      </c>
      <c r="D3" s="80">
        <v>38629</v>
      </c>
      <c r="E3" s="25">
        <f t="shared" ref="E3:E28" si="0">C3/B3</f>
        <v>0.33322777493914202</v>
      </c>
      <c r="F3" s="79">
        <f t="shared" ref="F3:F28" si="1">(D3+C3)/B3</f>
        <v>0.40827590762410071</v>
      </c>
    </row>
    <row r="4" spans="1:6">
      <c r="A4">
        <v>2000</v>
      </c>
      <c r="B4">
        <v>547867</v>
      </c>
      <c r="C4" s="78">
        <v>189617</v>
      </c>
      <c r="D4" s="80">
        <v>38940</v>
      </c>
      <c r="E4" s="25">
        <f t="shared" si="0"/>
        <v>0.34610042218275605</v>
      </c>
      <c r="F4" s="79">
        <f t="shared" si="1"/>
        <v>0.41717606645408467</v>
      </c>
    </row>
    <row r="5" spans="1:6">
      <c r="A5">
        <v>2001</v>
      </c>
      <c r="B5">
        <v>582996</v>
      </c>
      <c r="C5" s="78">
        <v>206411</v>
      </c>
      <c r="D5" s="80">
        <v>41241</v>
      </c>
      <c r="E5" s="25">
        <f t="shared" si="0"/>
        <v>0.35405217188454124</v>
      </c>
      <c r="F5" s="79">
        <f t="shared" si="1"/>
        <v>0.42479193682289418</v>
      </c>
    </row>
    <row r="6" spans="1:6">
      <c r="A6">
        <v>2002</v>
      </c>
      <c r="B6">
        <v>586323</v>
      </c>
      <c r="C6" s="78">
        <v>212049</v>
      </c>
      <c r="D6" s="80">
        <v>42415</v>
      </c>
      <c r="E6" s="25">
        <f t="shared" si="0"/>
        <v>0.36165901729933841</v>
      </c>
      <c r="F6" s="79">
        <f t="shared" si="1"/>
        <v>0.43399968959089102</v>
      </c>
    </row>
    <row r="7" spans="1:6">
      <c r="A7">
        <v>2003</v>
      </c>
      <c r="B7">
        <v>572509</v>
      </c>
      <c r="C7" s="78">
        <v>207525</v>
      </c>
      <c r="D7" s="80">
        <v>50464</v>
      </c>
      <c r="E7" s="25">
        <f t="shared" si="0"/>
        <v>0.36248338454067969</v>
      </c>
      <c r="F7" s="79">
        <f t="shared" si="1"/>
        <v>0.45062872374058749</v>
      </c>
    </row>
    <row r="8" spans="1:6">
      <c r="A8">
        <v>2004</v>
      </c>
      <c r="B8">
        <v>565039</v>
      </c>
      <c r="C8" s="78">
        <v>193216</v>
      </c>
      <c r="D8" s="80">
        <v>42263</v>
      </c>
      <c r="E8" s="25">
        <f t="shared" si="0"/>
        <v>0.34195161749896907</v>
      </c>
      <c r="F8" s="79">
        <f t="shared" si="1"/>
        <v>0.41674822445884269</v>
      </c>
    </row>
    <row r="9" spans="1:6">
      <c r="A9">
        <v>2005</v>
      </c>
      <c r="B9">
        <v>564766</v>
      </c>
      <c r="C9" s="78">
        <v>184349</v>
      </c>
      <c r="D9" s="80">
        <v>42235</v>
      </c>
      <c r="E9" s="25">
        <f t="shared" si="0"/>
        <v>0.32641660439899001</v>
      </c>
      <c r="F9" s="79">
        <f t="shared" si="1"/>
        <v>0.40119978893913588</v>
      </c>
    </row>
    <row r="10" spans="1:6">
      <c r="A10">
        <v>2006</v>
      </c>
      <c r="B10">
        <v>582984</v>
      </c>
      <c r="C10" s="78">
        <v>187061</v>
      </c>
      <c r="D10" s="80">
        <v>44983</v>
      </c>
      <c r="E10" s="25">
        <f t="shared" si="0"/>
        <v>0.32086815418604969</v>
      </c>
      <c r="F10" s="79">
        <f t="shared" si="1"/>
        <v>0.39802807624222963</v>
      </c>
    </row>
    <row r="11" spans="1:6">
      <c r="A11">
        <v>2007</v>
      </c>
      <c r="B11">
        <v>623805</v>
      </c>
      <c r="C11" s="78">
        <v>195369</v>
      </c>
      <c r="D11" s="80">
        <v>45535</v>
      </c>
      <c r="E11" s="25">
        <f t="shared" si="0"/>
        <v>0.31318921778440378</v>
      </c>
      <c r="F11" s="79">
        <f t="shared" si="1"/>
        <v>0.38618478530951178</v>
      </c>
    </row>
    <row r="12" spans="1:6">
      <c r="A12">
        <v>2008</v>
      </c>
      <c r="B12">
        <v>671616</v>
      </c>
      <c r="C12" s="78">
        <v>237404</v>
      </c>
      <c r="D12" s="80">
        <v>52631</v>
      </c>
      <c r="E12" s="25">
        <f t="shared" si="0"/>
        <v>0.35348175147703448</v>
      </c>
      <c r="F12" s="79">
        <f t="shared" si="1"/>
        <v>0.43184647179340574</v>
      </c>
    </row>
    <row r="13" spans="1:6">
      <c r="A13">
        <v>2009</v>
      </c>
      <c r="B13">
        <v>690923</v>
      </c>
      <c r="C13" s="78">
        <v>249555</v>
      </c>
      <c r="D13" s="80">
        <v>54853</v>
      </c>
      <c r="E13" s="25">
        <f t="shared" si="0"/>
        <v>0.36119075497559061</v>
      </c>
      <c r="F13" s="79">
        <f t="shared" si="1"/>
        <v>0.44058165671138461</v>
      </c>
    </row>
    <row r="14" spans="1:6">
      <c r="A14">
        <v>2010</v>
      </c>
      <c r="B14">
        <v>723277</v>
      </c>
      <c r="C14" s="78">
        <v>263675</v>
      </c>
      <c r="D14" s="80">
        <v>58345</v>
      </c>
      <c r="E14" s="25">
        <f t="shared" si="0"/>
        <v>0.36455604146129356</v>
      </c>
      <c r="F14" s="79">
        <f t="shared" si="1"/>
        <v>0.44522361418930784</v>
      </c>
    </row>
    <row r="15" spans="1:6">
      <c r="A15">
        <v>2011</v>
      </c>
      <c r="B15">
        <v>764495</v>
      </c>
      <c r="C15" s="78">
        <v>278684</v>
      </c>
      <c r="D15" s="80">
        <v>60974</v>
      </c>
      <c r="E15" s="25">
        <f t="shared" si="0"/>
        <v>0.36453345018607053</v>
      </c>
      <c r="F15" s="79">
        <f t="shared" si="1"/>
        <v>0.44429067554398655</v>
      </c>
    </row>
    <row r="16" spans="1:6">
      <c r="A16">
        <v>2012</v>
      </c>
      <c r="B16">
        <v>819644</v>
      </c>
      <c r="C16" s="78">
        <v>300951</v>
      </c>
      <c r="D16" s="80">
        <v>67786</v>
      </c>
      <c r="E16" s="25">
        <f t="shared" si="0"/>
        <v>0.36717282137122947</v>
      </c>
      <c r="F16" s="79">
        <f t="shared" si="1"/>
        <v>0.44987457969557515</v>
      </c>
    </row>
    <row r="17" spans="1:7">
      <c r="A17">
        <v>2013</v>
      </c>
      <c r="B17">
        <v>886052</v>
      </c>
      <c r="C17" s="78">
        <v>332102</v>
      </c>
      <c r="D17" s="80">
        <v>72390</v>
      </c>
      <c r="E17" s="25">
        <f t="shared" si="0"/>
        <v>0.37481095917621088</v>
      </c>
      <c r="F17" s="79">
        <f t="shared" si="1"/>
        <v>0.45651045311110411</v>
      </c>
    </row>
    <row r="18" spans="1:7">
      <c r="A18">
        <v>2014</v>
      </c>
      <c r="B18">
        <v>974926</v>
      </c>
      <c r="C18" s="78">
        <v>383538</v>
      </c>
      <c r="D18" s="80">
        <v>75951</v>
      </c>
      <c r="E18" s="25">
        <f t="shared" si="0"/>
        <v>0.39340216590797661</v>
      </c>
      <c r="F18" s="79">
        <f t="shared" si="1"/>
        <v>0.47130654018869123</v>
      </c>
    </row>
    <row r="19" spans="1:7">
      <c r="A19">
        <v>2015</v>
      </c>
      <c r="B19">
        <v>1043839</v>
      </c>
      <c r="C19" s="78">
        <v>433968</v>
      </c>
      <c r="D19" s="80">
        <v>81304</v>
      </c>
      <c r="E19" s="25">
        <f t="shared" si="0"/>
        <v>0.4157422744312102</v>
      </c>
      <c r="F19" s="79">
        <f t="shared" si="1"/>
        <v>0.49363168074770153</v>
      </c>
      <c r="G19" s="1"/>
    </row>
    <row r="20" spans="1:7">
      <c r="A20">
        <v>2016</v>
      </c>
      <c r="B20">
        <v>1078822</v>
      </c>
      <c r="C20" s="78">
        <v>474729</v>
      </c>
      <c r="D20" s="80">
        <v>83046</v>
      </c>
      <c r="E20" s="25">
        <f t="shared" si="0"/>
        <v>0.44004386265760248</v>
      </c>
      <c r="F20" s="79">
        <f t="shared" si="1"/>
        <v>0.51702227058773365</v>
      </c>
      <c r="G20" s="1"/>
    </row>
    <row r="21" spans="1:7">
      <c r="A21">
        <v>2017</v>
      </c>
      <c r="B21">
        <v>1094792</v>
      </c>
      <c r="C21" s="78">
        <v>497413</v>
      </c>
      <c r="D21" s="80">
        <v>83708</v>
      </c>
      <c r="E21" s="25">
        <f t="shared" si="0"/>
        <v>0.45434475224517534</v>
      </c>
      <c r="F21" s="79">
        <f t="shared" si="1"/>
        <v>0.5308049382896477</v>
      </c>
      <c r="G21" s="1"/>
    </row>
    <row r="22" spans="1:7">
      <c r="A22">
        <v>2018</v>
      </c>
      <c r="B22">
        <v>1095299</v>
      </c>
      <c r="C22" s="78">
        <v>515821</v>
      </c>
      <c r="D22" s="80">
        <v>84320</v>
      </c>
      <c r="E22" s="25">
        <f t="shared" si="0"/>
        <v>0.47094081159573781</v>
      </c>
      <c r="F22" s="79">
        <f t="shared" si="1"/>
        <v>0.54792435672816286</v>
      </c>
      <c r="G22" s="1"/>
    </row>
    <row r="23" spans="1:7">
      <c r="A23">
        <v>2019</v>
      </c>
      <c r="B23">
        <v>1075496</v>
      </c>
      <c r="C23" s="78">
        <v>507720</v>
      </c>
      <c r="D23" s="80">
        <v>84440</v>
      </c>
      <c r="E23" s="25">
        <f t="shared" si="0"/>
        <v>0.47207985896739735</v>
      </c>
      <c r="F23" s="79">
        <f t="shared" si="1"/>
        <v>0.55059247082276452</v>
      </c>
      <c r="G23" s="1"/>
    </row>
    <row r="24" spans="1:7">
      <c r="A24">
        <v>2020</v>
      </c>
      <c r="B24">
        <v>914095</v>
      </c>
      <c r="C24">
        <v>447725</v>
      </c>
      <c r="D24" s="80">
        <v>76419</v>
      </c>
      <c r="E24" s="25">
        <f t="shared" si="0"/>
        <v>0.48980138825833203</v>
      </c>
      <c r="F24" s="79">
        <f t="shared" si="1"/>
        <v>0.57340210809598569</v>
      </c>
      <c r="G24" s="1"/>
    </row>
    <row r="25" spans="1:7">
      <c r="A25">
        <v>2021</v>
      </c>
      <c r="B25">
        <v>948519</v>
      </c>
      <c r="C25">
        <v>467207</v>
      </c>
      <c r="D25" s="80">
        <v>78770</v>
      </c>
      <c r="E25" s="25">
        <f t="shared" si="0"/>
        <v>0.49256472458643424</v>
      </c>
      <c r="F25" s="79">
        <f t="shared" si="1"/>
        <v>0.57560997723819973</v>
      </c>
      <c r="G25" s="1"/>
    </row>
    <row r="26" spans="1:7">
      <c r="A26">
        <v>2022</v>
      </c>
      <c r="B26">
        <v>1057188</v>
      </c>
      <c r="C26">
        <v>527861</v>
      </c>
      <c r="D26" s="80">
        <v>85998</v>
      </c>
      <c r="E26" s="25">
        <f t="shared" si="0"/>
        <v>0.49930665122948803</v>
      </c>
      <c r="F26" s="79">
        <f t="shared" si="1"/>
        <v>0.58065263699550129</v>
      </c>
      <c r="G26" s="1"/>
    </row>
    <row r="27" spans="1:7">
      <c r="A27">
        <v>2023</v>
      </c>
      <c r="B27">
        <v>1126690</v>
      </c>
      <c r="C27">
        <v>579802</v>
      </c>
      <c r="D27" s="80">
        <v>84307</v>
      </c>
      <c r="E27" s="25">
        <f t="shared" si="0"/>
        <v>0.51460650223220228</v>
      </c>
      <c r="F27" s="79">
        <f t="shared" si="1"/>
        <v>0.58943365078238019</v>
      </c>
      <c r="G27" s="1"/>
    </row>
    <row r="28" spans="1:7">
      <c r="A28">
        <v>2024</v>
      </c>
      <c r="B28">
        <v>1177766</v>
      </c>
      <c r="C28">
        <v>618060</v>
      </c>
      <c r="D28" s="80">
        <v>86008</v>
      </c>
      <c r="E28" s="25">
        <f t="shared" si="0"/>
        <v>0.52477317226002451</v>
      </c>
      <c r="F28" s="79">
        <f t="shared" si="1"/>
        <v>0.59779956290128944</v>
      </c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C31" s="6"/>
    </row>
    <row r="32" spans="1:7">
      <c r="C32" s="6"/>
    </row>
    <row r="33" spans="3:3">
      <c r="C33" s="6"/>
    </row>
    <row r="34" spans="3:3">
      <c r="C34" s="6"/>
    </row>
    <row r="35" spans="3:3">
      <c r="C35" s="6"/>
    </row>
    <row r="36" spans="3:3">
      <c r="C36" s="6"/>
    </row>
    <row r="37" spans="3:3">
      <c r="C37" s="6"/>
    </row>
    <row r="38" spans="3:3">
      <c r="C38" s="6"/>
    </row>
    <row r="39" spans="3:3">
      <c r="C39" s="6"/>
    </row>
    <row r="40" spans="3:3">
      <c r="C40" s="6"/>
    </row>
    <row r="41" spans="3:3">
      <c r="C41" s="6"/>
    </row>
    <row r="42" spans="3:3">
      <c r="C42" s="6"/>
    </row>
    <row r="43" spans="3:3">
      <c r="C43" s="6"/>
    </row>
    <row r="44" spans="3:3">
      <c r="C44" s="6"/>
    </row>
    <row r="45" spans="3:3">
      <c r="C45" s="6"/>
    </row>
    <row r="46" spans="3:3">
      <c r="C46" s="6"/>
    </row>
    <row r="47" spans="3:3">
      <c r="C47" s="6"/>
    </row>
    <row r="48" spans="3:3">
      <c r="C48" s="6"/>
    </row>
    <row r="49" spans="3:3">
      <c r="C49" s="6"/>
    </row>
    <row r="50" spans="3:3">
      <c r="C50" s="6"/>
    </row>
    <row r="51" spans="3:3">
      <c r="C51" s="6"/>
    </row>
    <row r="52" spans="3:3">
      <c r="C52" s="6"/>
    </row>
    <row r="53" spans="3:3">
      <c r="C53" s="6"/>
    </row>
    <row r="54" spans="3:3">
      <c r="C54" s="6"/>
    </row>
    <row r="55" spans="3:3">
      <c r="C55" s="6"/>
    </row>
    <row r="56" spans="3:3">
      <c r="C56" s="6"/>
    </row>
    <row r="57" spans="3:3">
      <c r="C57" s="6"/>
    </row>
    <row r="58" spans="3:3">
      <c r="C58" s="6"/>
    </row>
    <row r="59" spans="3:3">
      <c r="C59" s="6"/>
    </row>
    <row r="60" spans="3:3">
      <c r="C60" s="6"/>
    </row>
    <row r="61" spans="3:3">
      <c r="C61" s="6"/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9"/>
  <sheetViews>
    <sheetView zoomScale="125" workbookViewId="0">
      <selection activeCell="A2" sqref="A2"/>
    </sheetView>
  </sheetViews>
  <sheetFormatPr baseColWidth="10" defaultColWidth="8.83203125" defaultRowHeight="15"/>
  <sheetData>
    <row r="1" spans="1:10">
      <c r="A1" s="1" t="s">
        <v>0</v>
      </c>
      <c r="B1" s="1" t="s">
        <v>4</v>
      </c>
      <c r="C1" s="1" t="s">
        <v>5</v>
      </c>
      <c r="D1" s="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13</v>
      </c>
    </row>
    <row r="2" spans="1:10">
      <c r="A2" s="1">
        <v>2000</v>
      </c>
      <c r="B2" s="1">
        <v>280149</v>
      </c>
      <c r="C2" s="1">
        <v>26124</v>
      </c>
      <c r="D2" s="1">
        <v>90661</v>
      </c>
      <c r="E2">
        <v>62681</v>
      </c>
      <c r="F2">
        <v>23544</v>
      </c>
      <c r="G2">
        <v>4677</v>
      </c>
      <c r="H2">
        <v>26897</v>
      </c>
      <c r="I2">
        <v>7</v>
      </c>
      <c r="J2" s="5">
        <f>B2/SUM(B2:I2)</f>
        <v>0.54425340948828538</v>
      </c>
    </row>
    <row r="3" spans="1:10">
      <c r="A3" s="1">
        <v>2001</v>
      </c>
      <c r="B3" s="1">
        <v>302058</v>
      </c>
      <c r="C3" s="1">
        <v>29399</v>
      </c>
      <c r="D3" s="1">
        <v>93784</v>
      </c>
      <c r="E3">
        <v>64243</v>
      </c>
      <c r="F3">
        <v>25279</v>
      </c>
      <c r="G3">
        <v>4624</v>
      </c>
      <c r="H3">
        <v>28476</v>
      </c>
      <c r="I3">
        <v>10</v>
      </c>
      <c r="J3" s="5">
        <f t="shared" ref="J3:J27" si="0">B3/SUM(B3:I3)</f>
        <v>0.5513285013132605</v>
      </c>
    </row>
    <row r="4" spans="1:10">
      <c r="A4" s="1">
        <v>2002</v>
      </c>
      <c r="B4" s="1">
        <v>324812</v>
      </c>
      <c r="C4" s="1">
        <v>32509</v>
      </c>
      <c r="D4" s="1">
        <v>95697</v>
      </c>
      <c r="E4">
        <v>68883</v>
      </c>
      <c r="F4">
        <v>26514</v>
      </c>
      <c r="G4">
        <v>4852</v>
      </c>
      <c r="H4">
        <v>29642</v>
      </c>
      <c r="I4">
        <v>87</v>
      </c>
      <c r="J4" s="5">
        <f t="shared" si="0"/>
        <v>0.55714275912699229</v>
      </c>
    </row>
    <row r="5" spans="1:10">
      <c r="A5" s="1">
        <v>2003</v>
      </c>
      <c r="B5" s="1">
        <v>332298</v>
      </c>
      <c r="C5" s="1">
        <v>35406</v>
      </c>
      <c r="D5" s="1">
        <v>91436</v>
      </c>
      <c r="E5">
        <v>69664</v>
      </c>
      <c r="F5">
        <v>26513</v>
      </c>
      <c r="G5">
        <v>4811</v>
      </c>
      <c r="H5">
        <v>26155</v>
      </c>
      <c r="I5">
        <v>33</v>
      </c>
      <c r="J5" s="5">
        <f t="shared" si="0"/>
        <v>0.56675581085967297</v>
      </c>
    </row>
    <row r="6" spans="1:10">
      <c r="A6" s="1">
        <v>2004</v>
      </c>
      <c r="B6" s="1">
        <v>324006</v>
      </c>
      <c r="C6" s="1">
        <v>33942</v>
      </c>
      <c r="D6" s="1">
        <v>87094</v>
      </c>
      <c r="E6">
        <v>70291</v>
      </c>
      <c r="F6">
        <v>27017</v>
      </c>
      <c r="G6">
        <v>4534</v>
      </c>
      <c r="H6">
        <v>23100</v>
      </c>
      <c r="I6">
        <v>19</v>
      </c>
      <c r="J6" s="5">
        <f t="shared" si="0"/>
        <v>0.56842858721796197</v>
      </c>
    </row>
    <row r="7" spans="1:10">
      <c r="A7" s="1">
        <v>2005</v>
      </c>
      <c r="B7" s="1">
        <v>325112</v>
      </c>
      <c r="C7" s="1">
        <v>32492</v>
      </c>
      <c r="D7" s="1">
        <v>85409</v>
      </c>
      <c r="E7">
        <v>66581</v>
      </c>
      <c r="F7">
        <v>28140</v>
      </c>
      <c r="G7">
        <v>4481</v>
      </c>
      <c r="H7">
        <v>21056</v>
      </c>
      <c r="I7">
        <v>37</v>
      </c>
      <c r="J7" s="5">
        <f t="shared" si="0"/>
        <v>0.57714784806890729</v>
      </c>
    </row>
    <row r="8" spans="1:10">
      <c r="A8" s="1">
        <v>2006</v>
      </c>
      <c r="B8" s="1">
        <v>327785</v>
      </c>
      <c r="C8" s="1">
        <v>32847</v>
      </c>
      <c r="D8" s="1">
        <v>84697</v>
      </c>
      <c r="E8">
        <v>65266</v>
      </c>
      <c r="F8">
        <v>28202</v>
      </c>
      <c r="G8">
        <v>4702</v>
      </c>
      <c r="H8">
        <v>21267</v>
      </c>
      <c r="I8">
        <v>0</v>
      </c>
      <c r="J8" s="5">
        <f t="shared" si="0"/>
        <v>0.58039081672763582</v>
      </c>
    </row>
    <row r="9" spans="1:10">
      <c r="A9" s="1">
        <v>2007</v>
      </c>
      <c r="B9" s="1">
        <v>344495</v>
      </c>
      <c r="C9" s="1">
        <v>32423</v>
      </c>
      <c r="D9" s="1">
        <v>82731</v>
      </c>
      <c r="E9">
        <v>65055</v>
      </c>
      <c r="F9">
        <v>28280</v>
      </c>
      <c r="G9">
        <v>4300</v>
      </c>
      <c r="H9">
        <v>25700</v>
      </c>
      <c r="I9">
        <v>0</v>
      </c>
      <c r="J9" s="5">
        <f t="shared" si="0"/>
        <v>0.59091673184855842</v>
      </c>
    </row>
    <row r="10" spans="1:10">
      <c r="A10" s="1">
        <v>2008</v>
      </c>
      <c r="B10" s="1">
        <v>380465</v>
      </c>
      <c r="C10" s="1">
        <v>32020</v>
      </c>
      <c r="D10" s="1">
        <v>83981</v>
      </c>
      <c r="E10">
        <v>64894</v>
      </c>
      <c r="F10">
        <v>29051</v>
      </c>
      <c r="G10">
        <v>5005</v>
      </c>
      <c r="H10">
        <v>28389</v>
      </c>
      <c r="I10">
        <v>0</v>
      </c>
      <c r="J10" s="5">
        <f t="shared" si="0"/>
        <v>0.60991014820336487</v>
      </c>
    </row>
    <row r="11" spans="1:10">
      <c r="A11" s="1">
        <v>2009</v>
      </c>
      <c r="B11" s="1">
        <v>415000</v>
      </c>
      <c r="C11" s="1">
        <v>32708</v>
      </c>
      <c r="D11" s="1">
        <v>87318</v>
      </c>
      <c r="E11">
        <v>68141</v>
      </c>
      <c r="F11">
        <v>29697</v>
      </c>
      <c r="G11">
        <v>5053</v>
      </c>
      <c r="H11">
        <v>33369</v>
      </c>
      <c r="I11">
        <v>0</v>
      </c>
      <c r="J11" s="5">
        <f t="shared" si="0"/>
        <v>0.61821637871190516</v>
      </c>
    </row>
    <row r="12" spans="1:10">
      <c r="A12">
        <v>2010</v>
      </c>
      <c r="B12">
        <v>435667</v>
      </c>
      <c r="C12">
        <v>32121</v>
      </c>
      <c r="D12">
        <v>85084</v>
      </c>
      <c r="E12">
        <v>66061</v>
      </c>
      <c r="F12">
        <v>28145</v>
      </c>
      <c r="G12">
        <v>5107</v>
      </c>
      <c r="H12">
        <v>38738</v>
      </c>
      <c r="I12">
        <v>0</v>
      </c>
      <c r="J12" s="5">
        <f t="shared" si="0"/>
        <v>0.63055796376730833</v>
      </c>
    </row>
    <row r="13" spans="1:10">
      <c r="A13">
        <v>2011</v>
      </c>
      <c r="B13">
        <v>461818</v>
      </c>
      <c r="C13">
        <v>31470</v>
      </c>
      <c r="D13">
        <v>84296</v>
      </c>
      <c r="E13">
        <v>64564</v>
      </c>
      <c r="F13">
        <v>27546</v>
      </c>
      <c r="G13">
        <v>5610</v>
      </c>
      <c r="H13">
        <v>47963</v>
      </c>
      <c r="I13">
        <v>10</v>
      </c>
      <c r="J13" s="5">
        <f t="shared" si="0"/>
        <v>0.63850779162063775</v>
      </c>
    </row>
    <row r="14" spans="1:10">
      <c r="A14">
        <v>2012</v>
      </c>
      <c r="B14">
        <v>489970</v>
      </c>
      <c r="C14">
        <v>30046</v>
      </c>
      <c r="D14">
        <v>85423</v>
      </c>
      <c r="E14">
        <v>64410</v>
      </c>
      <c r="F14">
        <v>26821</v>
      </c>
      <c r="G14">
        <v>5697</v>
      </c>
      <c r="H14">
        <v>62120</v>
      </c>
      <c r="I14">
        <v>8</v>
      </c>
      <c r="J14" s="5">
        <f t="shared" si="0"/>
        <v>0.6409067423593352</v>
      </c>
    </row>
    <row r="15" spans="1:10">
      <c r="A15">
        <v>2013</v>
      </c>
      <c r="B15">
        <v>525849</v>
      </c>
      <c r="C15">
        <v>30585</v>
      </c>
      <c r="D15">
        <v>85823</v>
      </c>
      <c r="E15">
        <v>66864</v>
      </c>
      <c r="F15">
        <v>27357</v>
      </c>
      <c r="G15">
        <v>6104</v>
      </c>
      <c r="H15">
        <v>77049</v>
      </c>
      <c r="I15">
        <v>13</v>
      </c>
      <c r="J15" s="5">
        <f t="shared" si="0"/>
        <v>0.64155779826363646</v>
      </c>
    </row>
    <row r="16" spans="1:10">
      <c r="A16">
        <v>2014</v>
      </c>
      <c r="B16">
        <v>568510</v>
      </c>
      <c r="C16">
        <v>31113</v>
      </c>
      <c r="D16">
        <v>86885</v>
      </c>
      <c r="E16">
        <v>72318</v>
      </c>
      <c r="F16">
        <v>28304</v>
      </c>
      <c r="G16">
        <v>6292</v>
      </c>
      <c r="H16">
        <v>92618</v>
      </c>
      <c r="I16">
        <v>12</v>
      </c>
      <c r="J16" s="5">
        <f t="shared" si="0"/>
        <v>0.64162148496927951</v>
      </c>
    </row>
    <row r="17" spans="1:10">
      <c r="A17">
        <v>2015</v>
      </c>
      <c r="B17">
        <v>627306</v>
      </c>
      <c r="C17">
        <v>33593</v>
      </c>
      <c r="D17">
        <v>90625</v>
      </c>
      <c r="E17">
        <v>86378</v>
      </c>
      <c r="F17">
        <v>27240</v>
      </c>
      <c r="G17">
        <v>6471</v>
      </c>
      <c r="H17">
        <v>103307</v>
      </c>
      <c r="I17">
        <v>6</v>
      </c>
      <c r="J17" s="5">
        <f t="shared" si="0"/>
        <v>0.64343960464691674</v>
      </c>
    </row>
    <row r="18" spans="1:10">
      <c r="A18">
        <v>2016</v>
      </c>
      <c r="B18">
        <v>689525</v>
      </c>
      <c r="C18">
        <v>35364</v>
      </c>
      <c r="D18">
        <v>91915</v>
      </c>
      <c r="E18">
        <v>84908</v>
      </c>
      <c r="F18">
        <v>26973</v>
      </c>
      <c r="G18">
        <v>6917</v>
      </c>
      <c r="H18">
        <v>108227</v>
      </c>
      <c r="I18">
        <v>10</v>
      </c>
      <c r="J18" s="5">
        <f t="shared" si="0"/>
        <v>0.66056642834766666</v>
      </c>
    </row>
    <row r="19" spans="1:10">
      <c r="A19">
        <v>2017</v>
      </c>
      <c r="B19">
        <v>734309</v>
      </c>
      <c r="C19">
        <v>37735</v>
      </c>
      <c r="D19">
        <v>92820</v>
      </c>
      <c r="E19">
        <v>79655</v>
      </c>
      <c r="F19">
        <v>27065</v>
      </c>
      <c r="G19">
        <v>7222</v>
      </c>
      <c r="H19">
        <v>100014</v>
      </c>
      <c r="I19">
        <v>2</v>
      </c>
      <c r="J19" s="5">
        <f t="shared" si="0"/>
        <v>0.68065816232891063</v>
      </c>
    </row>
    <row r="20" spans="1:10">
      <c r="A20">
        <v>2018</v>
      </c>
      <c r="B20">
        <v>758076</v>
      </c>
      <c r="C20">
        <v>39479</v>
      </c>
      <c r="D20">
        <v>92655</v>
      </c>
      <c r="E20">
        <v>79920</v>
      </c>
      <c r="F20">
        <v>25909</v>
      </c>
      <c r="G20">
        <v>7372</v>
      </c>
      <c r="H20">
        <v>91375</v>
      </c>
      <c r="I20">
        <v>6</v>
      </c>
      <c r="J20" s="5">
        <f t="shared" si="0"/>
        <v>0.69243838098926558</v>
      </c>
    </row>
    <row r="21" spans="1:10">
      <c r="A21">
        <v>2019</v>
      </c>
      <c r="B21">
        <v>768260</v>
      </c>
      <c r="C21">
        <v>40290</v>
      </c>
      <c r="D21">
        <v>90996</v>
      </c>
      <c r="E21">
        <v>80962</v>
      </c>
      <c r="F21">
        <v>26122</v>
      </c>
      <c r="G21">
        <v>7542</v>
      </c>
      <c r="H21">
        <v>81126</v>
      </c>
      <c r="I21">
        <v>1</v>
      </c>
      <c r="J21" s="5">
        <f t="shared" si="0"/>
        <v>0.70141577779218278</v>
      </c>
    </row>
    <row r="22" spans="1:10">
      <c r="A22">
        <v>2020</v>
      </c>
      <c r="B22">
        <v>758014</v>
      </c>
      <c r="C22">
        <v>41697</v>
      </c>
      <c r="D22">
        <v>89784</v>
      </c>
      <c r="E22">
        <v>80204</v>
      </c>
      <c r="F22">
        <v>25992</v>
      </c>
      <c r="G22">
        <v>7473</v>
      </c>
      <c r="H22">
        <v>72325</v>
      </c>
      <c r="I22">
        <v>7</v>
      </c>
      <c r="J22" s="5">
        <f t="shared" si="0"/>
        <v>0.70480410898785306</v>
      </c>
    </row>
    <row r="23" spans="1:10">
      <c r="A23">
        <v>2021</v>
      </c>
      <c r="B23">
        <v>645622</v>
      </c>
      <c r="C23">
        <v>39061</v>
      </c>
      <c r="D23">
        <v>67979</v>
      </c>
      <c r="E23">
        <v>72850</v>
      </c>
      <c r="F23">
        <v>25143</v>
      </c>
      <c r="G23">
        <v>5864</v>
      </c>
      <c r="H23">
        <v>57564</v>
      </c>
      <c r="I23">
        <v>12</v>
      </c>
      <c r="J23" s="5">
        <f t="shared" si="0"/>
        <v>0.70629639151291712</v>
      </c>
    </row>
    <row r="24" spans="1:10">
      <c r="A24">
        <v>2022</v>
      </c>
      <c r="B24">
        <v>658669</v>
      </c>
      <c r="C24">
        <v>42518</v>
      </c>
      <c r="D24">
        <v>83240</v>
      </c>
      <c r="E24">
        <v>77969</v>
      </c>
      <c r="F24">
        <v>27013</v>
      </c>
      <c r="G24">
        <v>5994</v>
      </c>
      <c r="H24">
        <v>53104</v>
      </c>
      <c r="I24">
        <v>12</v>
      </c>
      <c r="J24" s="5">
        <f t="shared" si="0"/>
        <v>0.69441835113476902</v>
      </c>
    </row>
    <row r="25" spans="1:10">
      <c r="A25">
        <v>2023</v>
      </c>
      <c r="B25">
        <v>748165</v>
      </c>
      <c r="C25">
        <v>50199</v>
      </c>
      <c r="D25">
        <v>89906</v>
      </c>
      <c r="E25">
        <v>81945</v>
      </c>
      <c r="F25">
        <v>27876</v>
      </c>
      <c r="G25">
        <v>6782</v>
      </c>
      <c r="H25">
        <v>52295</v>
      </c>
      <c r="I25">
        <v>20</v>
      </c>
      <c r="J25" s="5">
        <f t="shared" si="0"/>
        <v>0.70769342822657844</v>
      </c>
    </row>
    <row r="26" spans="1:10">
      <c r="A26">
        <v>2024</v>
      </c>
      <c r="B26">
        <v>805238</v>
      </c>
      <c r="C26">
        <v>56780</v>
      </c>
      <c r="D26">
        <v>90600</v>
      </c>
      <c r="E26">
        <v>85891</v>
      </c>
      <c r="F26">
        <v>28998</v>
      </c>
      <c r="G26">
        <v>6878</v>
      </c>
      <c r="H26">
        <v>52292</v>
      </c>
      <c r="I26">
        <v>13</v>
      </c>
      <c r="J26" s="5">
        <f t="shared" si="0"/>
        <v>0.71469348267935284</v>
      </c>
    </row>
    <row r="27" spans="1:10">
      <c r="A27">
        <v>2025</v>
      </c>
      <c r="B27">
        <v>842885</v>
      </c>
      <c r="C27">
        <v>65385</v>
      </c>
      <c r="D27">
        <v>93361</v>
      </c>
      <c r="E27">
        <v>87932</v>
      </c>
      <c r="F27">
        <v>29903</v>
      </c>
      <c r="G27">
        <v>7270</v>
      </c>
      <c r="H27">
        <v>51018</v>
      </c>
      <c r="I27">
        <v>12</v>
      </c>
      <c r="J27" s="5">
        <f t="shared" si="0"/>
        <v>0.71566423211401931</v>
      </c>
    </row>
    <row r="28" spans="1:10">
      <c r="B28" s="25"/>
      <c r="C28" s="25"/>
      <c r="D28" s="25"/>
      <c r="E28" s="25"/>
      <c r="F28" s="25"/>
      <c r="G28" s="25"/>
      <c r="H28" s="25"/>
      <c r="I28" s="25"/>
    </row>
    <row r="29" spans="1:10">
      <c r="B29" s="25"/>
      <c r="C29" s="25"/>
      <c r="D29" s="25"/>
      <c r="E29" s="25"/>
      <c r="F29" s="25"/>
      <c r="G29" s="25"/>
      <c r="H29" s="25"/>
      <c r="I29" s="25"/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4"/>
  <dimension ref="A1:R62"/>
  <sheetViews>
    <sheetView workbookViewId="0">
      <selection activeCell="A2" sqref="A2"/>
    </sheetView>
  </sheetViews>
  <sheetFormatPr baseColWidth="10" defaultColWidth="8.83203125" defaultRowHeight="15"/>
  <cols>
    <col min="1" max="1" width="10.5" bestFit="1" customWidth="1"/>
    <col min="2" max="3" width="20" bestFit="1" customWidth="1"/>
    <col min="4" max="5" width="16.5" bestFit="1" customWidth="1"/>
    <col min="6" max="6" width="14.83203125" bestFit="1" customWidth="1"/>
    <col min="7" max="7" width="16.5" bestFit="1" customWidth="1"/>
    <col min="8" max="11" width="14.83203125" bestFit="1" customWidth="1"/>
    <col min="12" max="18" width="10.5" bestFit="1" customWidth="1"/>
  </cols>
  <sheetData>
    <row r="1" spans="1:18">
      <c r="A1" s="83" t="s">
        <v>0</v>
      </c>
      <c r="B1" s="83" t="s">
        <v>68</v>
      </c>
      <c r="C1" s="83" t="s">
        <v>30</v>
      </c>
      <c r="D1" s="83" t="s">
        <v>370</v>
      </c>
      <c r="E1" s="83" t="s">
        <v>423</v>
      </c>
      <c r="F1" s="83" t="s">
        <v>69</v>
      </c>
      <c r="G1" s="83" t="s">
        <v>317</v>
      </c>
      <c r="H1" s="83" t="s">
        <v>424</v>
      </c>
      <c r="I1" s="83" t="s">
        <v>71</v>
      </c>
      <c r="J1" s="83" t="s">
        <v>342</v>
      </c>
      <c r="K1" s="83" t="s">
        <v>57</v>
      </c>
      <c r="L1" s="83" t="s">
        <v>59</v>
      </c>
      <c r="M1" s="83" t="s">
        <v>163</v>
      </c>
      <c r="N1" s="83" t="s">
        <v>512</v>
      </c>
      <c r="O1" s="83" t="s">
        <v>62</v>
      </c>
      <c r="P1" s="83" t="s">
        <v>56</v>
      </c>
      <c r="Q1" s="83" t="s">
        <v>58</v>
      </c>
      <c r="R1" s="83" t="s">
        <v>55</v>
      </c>
    </row>
    <row r="2" spans="1:18">
      <c r="A2" s="83">
        <v>2009</v>
      </c>
      <c r="B2" s="83">
        <v>77309.089000000007</v>
      </c>
      <c r="C2" s="83">
        <v>58198.368000000002</v>
      </c>
      <c r="D2" s="83">
        <v>22006.665000000001</v>
      </c>
      <c r="E2" s="83">
        <v>6624.39</v>
      </c>
      <c r="F2" s="83">
        <v>9400.43</v>
      </c>
      <c r="G2" s="83">
        <v>9553.23</v>
      </c>
      <c r="H2" s="83">
        <v>5672.665</v>
      </c>
      <c r="I2" s="83">
        <v>4261.3999999999996</v>
      </c>
      <c r="J2" s="83">
        <v>3625.5360000000001</v>
      </c>
      <c r="K2" s="83">
        <v>4182.95</v>
      </c>
      <c r="L2" s="83">
        <v>1968.0640000000001</v>
      </c>
      <c r="M2" s="83">
        <v>4024.404</v>
      </c>
      <c r="N2" s="83">
        <v>2353.6770000000001</v>
      </c>
      <c r="O2" s="83">
        <v>2359.7199999999998</v>
      </c>
      <c r="P2" s="83">
        <v>1798.7829999999999</v>
      </c>
      <c r="Q2" s="83">
        <v>1967.58</v>
      </c>
      <c r="R2" s="83">
        <v>2157.848</v>
      </c>
    </row>
    <row r="3" spans="1:18">
      <c r="A3" s="83">
        <v>2010</v>
      </c>
      <c r="B3" s="83">
        <v>75843.350000000006</v>
      </c>
      <c r="C3" s="83">
        <v>68222.614000000001</v>
      </c>
      <c r="D3" s="83">
        <v>21418.491999999998</v>
      </c>
      <c r="E3" s="83">
        <v>8763.7440000000006</v>
      </c>
      <c r="F3" s="83">
        <v>9420.732</v>
      </c>
      <c r="G3" s="83">
        <v>8537.3919999999998</v>
      </c>
      <c r="H3" s="83">
        <v>5727.3559999999998</v>
      </c>
      <c r="I3" s="83">
        <v>4689.72</v>
      </c>
      <c r="J3" s="83">
        <v>4102.9520000000002</v>
      </c>
      <c r="K3" s="83">
        <v>4196.1779999999999</v>
      </c>
      <c r="L3" s="83">
        <v>1983.6020000000001</v>
      </c>
      <c r="M3" s="83">
        <v>3598.01</v>
      </c>
      <c r="N3" s="83">
        <v>2332.5120000000002</v>
      </c>
      <c r="O3" s="83">
        <v>2149.848</v>
      </c>
      <c r="P3" s="83">
        <v>1816.241</v>
      </c>
      <c r="Q3" s="83">
        <v>1668.1880000000001</v>
      </c>
      <c r="R3" s="83">
        <v>2061.8440000000001</v>
      </c>
    </row>
    <row r="4" spans="1:18">
      <c r="A4" s="83">
        <v>2011</v>
      </c>
      <c r="B4" s="83">
        <v>74801.42</v>
      </c>
      <c r="C4" s="83">
        <v>81880.237999999998</v>
      </c>
      <c r="D4" s="83">
        <v>21688.5</v>
      </c>
      <c r="E4" s="83">
        <v>11197.592000000001</v>
      </c>
      <c r="F4" s="83">
        <v>9306.8870000000006</v>
      </c>
      <c r="G4" s="83">
        <v>8742</v>
      </c>
      <c r="H4" s="83">
        <v>5512.8329999999996</v>
      </c>
      <c r="I4" s="83">
        <v>4360.16</v>
      </c>
      <c r="J4" s="83">
        <v>3998.9319999999998</v>
      </c>
      <c r="K4" s="83">
        <v>4306.83</v>
      </c>
      <c r="L4" s="83">
        <v>1923.1769999999999</v>
      </c>
      <c r="M4" s="83">
        <v>3234.4920000000002</v>
      </c>
      <c r="N4" s="83">
        <v>2310.444</v>
      </c>
      <c r="O4" s="83">
        <v>1957.7449999999999</v>
      </c>
      <c r="P4" s="83">
        <v>1644.2940000000001</v>
      </c>
      <c r="Q4" s="83">
        <v>2041.5360000000001</v>
      </c>
      <c r="R4" s="83">
        <v>1990.9110000000001</v>
      </c>
    </row>
    <row r="5" spans="1:18">
      <c r="A5" s="83">
        <v>2012</v>
      </c>
      <c r="B5" s="83">
        <v>72178.483999999997</v>
      </c>
      <c r="C5" s="83">
        <v>95416.785000000003</v>
      </c>
      <c r="D5" s="83">
        <v>19563.679</v>
      </c>
      <c r="E5" s="83">
        <v>16979.646000000001</v>
      </c>
      <c r="F5" s="83">
        <v>9191.9519999999993</v>
      </c>
      <c r="G5" s="83">
        <v>8200.125</v>
      </c>
      <c r="H5" s="83">
        <v>5459.04</v>
      </c>
      <c r="I5" s="83">
        <v>4668.42</v>
      </c>
      <c r="J5" s="83">
        <v>4170.12</v>
      </c>
      <c r="K5" s="83">
        <v>4316.4960000000001</v>
      </c>
      <c r="L5" s="83">
        <v>2619.1880000000001</v>
      </c>
      <c r="M5" s="83">
        <v>2641.68</v>
      </c>
      <c r="N5" s="83">
        <v>2170.61</v>
      </c>
      <c r="O5" s="83">
        <v>1884.384</v>
      </c>
      <c r="P5" s="83">
        <v>1770.329</v>
      </c>
      <c r="Q5" s="83">
        <v>1991.28</v>
      </c>
      <c r="R5" s="83">
        <v>2111.085</v>
      </c>
    </row>
    <row r="6" spans="1:18">
      <c r="A6" s="83">
        <v>2013</v>
      </c>
      <c r="B6" s="83">
        <v>80803.650999999998</v>
      </c>
      <c r="C6" s="83">
        <v>114166.624</v>
      </c>
      <c r="D6" s="83">
        <v>20209.958999999999</v>
      </c>
      <c r="E6" s="83">
        <v>22322.466</v>
      </c>
      <c r="F6" s="83">
        <v>10076.224</v>
      </c>
      <c r="G6" s="83">
        <v>8336.2720000000008</v>
      </c>
      <c r="H6" s="83">
        <v>5341.5249999999996</v>
      </c>
      <c r="I6" s="83">
        <v>5006.8580000000002</v>
      </c>
      <c r="J6" s="83">
        <v>4499.1279999999997</v>
      </c>
      <c r="K6" s="83">
        <v>4670.1639999999998</v>
      </c>
      <c r="L6" s="83">
        <v>2922.92</v>
      </c>
      <c r="M6" s="83">
        <v>2784.096</v>
      </c>
      <c r="N6" s="83">
        <v>2518.56</v>
      </c>
      <c r="O6" s="83">
        <v>2181.5639999999999</v>
      </c>
      <c r="P6" s="83">
        <v>1987.2449999999999</v>
      </c>
      <c r="Q6" s="83">
        <v>2117.0100000000002</v>
      </c>
      <c r="R6" s="83">
        <v>2062.48</v>
      </c>
    </row>
    <row r="7" spans="1:18">
      <c r="A7" s="83">
        <v>2014</v>
      </c>
      <c r="B7" s="83">
        <v>106841.952</v>
      </c>
      <c r="C7" s="83">
        <v>128912.96000000001</v>
      </c>
      <c r="D7" s="83">
        <v>19750.099999999999</v>
      </c>
      <c r="E7" s="83">
        <v>25476.625</v>
      </c>
      <c r="F7" s="83">
        <v>10187.76</v>
      </c>
      <c r="G7" s="83">
        <v>8061.3119999999999</v>
      </c>
      <c r="H7" s="83">
        <v>5588.23</v>
      </c>
      <c r="I7" s="83">
        <v>5317.0479999999998</v>
      </c>
      <c r="J7" s="83">
        <v>5345.1220000000003</v>
      </c>
      <c r="K7" s="83">
        <v>4638.1440000000002</v>
      </c>
      <c r="L7" s="83">
        <v>7149.85</v>
      </c>
      <c r="M7" s="83">
        <v>2668.96</v>
      </c>
      <c r="N7" s="83">
        <v>2636.5360000000001</v>
      </c>
      <c r="O7" s="83">
        <v>2129.1930000000002</v>
      </c>
      <c r="P7" s="83">
        <v>2094.8850000000002</v>
      </c>
      <c r="Q7" s="83">
        <v>2185.75</v>
      </c>
      <c r="R7" s="83">
        <v>2130.337</v>
      </c>
    </row>
    <row r="8" spans="1:18">
      <c r="A8" s="83">
        <v>2015</v>
      </c>
      <c r="B8" s="83">
        <v>132900.318</v>
      </c>
      <c r="C8" s="83">
        <v>140289.56899999999</v>
      </c>
      <c r="D8" s="83">
        <v>19034.184000000001</v>
      </c>
      <c r="E8" s="83">
        <v>27395.289000000001</v>
      </c>
      <c r="F8" s="83">
        <v>9737.2530000000006</v>
      </c>
      <c r="G8" s="83">
        <v>8197.2759999999998</v>
      </c>
      <c r="H8" s="83">
        <v>6454.2160000000003</v>
      </c>
      <c r="I8" s="83">
        <v>6399.4970000000003</v>
      </c>
      <c r="J8" s="83">
        <v>6052.1580000000004</v>
      </c>
      <c r="K8" s="83">
        <v>5019.8999999999996</v>
      </c>
      <c r="L8" s="83">
        <v>6469.58</v>
      </c>
      <c r="M8" s="83">
        <v>2611.2199999999998</v>
      </c>
      <c r="N8" s="83">
        <v>2757.732</v>
      </c>
      <c r="O8" s="83">
        <v>2407.02</v>
      </c>
      <c r="P8" s="83">
        <v>2029.825</v>
      </c>
      <c r="Q8" s="83">
        <v>2112.1239999999998</v>
      </c>
      <c r="R8" s="83">
        <v>2059.4349999999999</v>
      </c>
    </row>
    <row r="9" spans="1:18">
      <c r="A9" s="83">
        <v>2016</v>
      </c>
      <c r="B9" s="83">
        <v>149199.867</v>
      </c>
      <c r="C9" s="83">
        <v>153279.935</v>
      </c>
      <c r="D9" s="83">
        <v>19417.453000000001</v>
      </c>
      <c r="E9" s="83">
        <v>26778.999</v>
      </c>
      <c r="F9" s="83">
        <v>10582.415000000001</v>
      </c>
      <c r="G9" s="83">
        <v>8713.98</v>
      </c>
      <c r="H9" s="83">
        <v>7556.1570000000002</v>
      </c>
      <c r="I9" s="83">
        <v>7382.1019999999999</v>
      </c>
      <c r="J9" s="83">
        <v>6475.63</v>
      </c>
      <c r="K9" s="83">
        <v>5521.88</v>
      </c>
      <c r="L9" s="83">
        <v>3874.3440000000001</v>
      </c>
      <c r="M9" s="83">
        <v>2910.9</v>
      </c>
      <c r="N9" s="83">
        <v>2764.44</v>
      </c>
      <c r="O9" s="83">
        <v>2522.3119999999999</v>
      </c>
      <c r="P9" s="83">
        <v>2240.355</v>
      </c>
      <c r="Q9" s="83">
        <v>2150.616</v>
      </c>
      <c r="R9" s="83">
        <v>2043.9690000000001</v>
      </c>
    </row>
    <row r="10" spans="1:18">
      <c r="A10" s="83">
        <v>2017</v>
      </c>
      <c r="B10" s="83">
        <v>159175.78099999999</v>
      </c>
      <c r="C10" s="83">
        <v>167136.85999999999</v>
      </c>
      <c r="D10" s="83">
        <v>19148.805</v>
      </c>
      <c r="E10" s="83">
        <v>24082.144</v>
      </c>
      <c r="F10" s="83">
        <v>9974.9650000000001</v>
      </c>
      <c r="G10" s="83">
        <v>9610.3119999999999</v>
      </c>
      <c r="H10" s="83">
        <v>9726.91</v>
      </c>
      <c r="I10" s="83">
        <v>9170.5249999999996</v>
      </c>
      <c r="J10" s="83">
        <v>7450.7910000000002</v>
      </c>
      <c r="K10" s="83">
        <v>5444.7359999999999</v>
      </c>
      <c r="L10" s="83">
        <v>4371.38</v>
      </c>
      <c r="M10" s="83">
        <v>2962.9740000000002</v>
      </c>
      <c r="N10" s="83">
        <v>3027.5</v>
      </c>
      <c r="O10" s="83">
        <v>2656.0079999999998</v>
      </c>
      <c r="P10" s="83">
        <v>2337.84</v>
      </c>
      <c r="Q10" s="83">
        <v>2323.7280000000001</v>
      </c>
      <c r="R10" s="83">
        <v>2128.904</v>
      </c>
    </row>
    <row r="11" spans="1:18">
      <c r="A11" s="83">
        <v>2018</v>
      </c>
      <c r="B11" s="83">
        <v>161611.20000000001</v>
      </c>
      <c r="C11" s="83">
        <v>176274.39600000001</v>
      </c>
      <c r="D11" s="83">
        <v>19384.75</v>
      </c>
      <c r="E11" s="83">
        <v>20171.52</v>
      </c>
      <c r="F11" s="83">
        <v>9926.36</v>
      </c>
      <c r="G11" s="83">
        <v>10305.728999999999</v>
      </c>
      <c r="H11" s="83">
        <v>9736.5439999999999</v>
      </c>
      <c r="I11" s="83">
        <v>9586.0560000000005</v>
      </c>
      <c r="J11" s="83">
        <v>8040.3770000000004</v>
      </c>
      <c r="K11" s="83">
        <v>5330.15</v>
      </c>
      <c r="L11" s="83">
        <v>4753.4639999999999</v>
      </c>
      <c r="M11" s="83">
        <v>3041.64</v>
      </c>
      <c r="N11" s="83">
        <v>2899.5320000000002</v>
      </c>
      <c r="O11" s="83">
        <v>2587.2600000000002</v>
      </c>
      <c r="P11" s="83">
        <v>2318.3679999999999</v>
      </c>
      <c r="Q11" s="83">
        <v>2379.4679999999998</v>
      </c>
      <c r="R11" s="83">
        <v>2169.076</v>
      </c>
    </row>
    <row r="12" spans="1:18">
      <c r="A12" s="83">
        <v>2019</v>
      </c>
      <c r="B12" s="83">
        <v>151216.092</v>
      </c>
      <c r="C12" s="83">
        <v>180678.02</v>
      </c>
      <c r="D12" s="83">
        <v>19873.791000000001</v>
      </c>
      <c r="E12" s="83">
        <v>16654.866000000002</v>
      </c>
      <c r="F12" s="83">
        <v>10552.752</v>
      </c>
      <c r="G12" s="83">
        <v>10818.144</v>
      </c>
      <c r="H12" s="83">
        <v>8898.27</v>
      </c>
      <c r="I12" s="83">
        <v>9938.7860000000001</v>
      </c>
      <c r="J12" s="83">
        <v>8559.9639999999999</v>
      </c>
      <c r="K12" s="83">
        <v>5237.0200000000004</v>
      </c>
      <c r="L12" s="83">
        <v>5218.0230000000001</v>
      </c>
      <c r="M12" s="83">
        <v>3229.9360000000001</v>
      </c>
      <c r="N12" s="83">
        <v>3535.8</v>
      </c>
      <c r="O12" s="83">
        <v>2522.9879999999998</v>
      </c>
      <c r="P12" s="83">
        <v>2420.1</v>
      </c>
      <c r="Q12" s="83">
        <v>2422.7060000000001</v>
      </c>
      <c r="R12" s="83">
        <v>2153.386</v>
      </c>
    </row>
    <row r="13" spans="1:18">
      <c r="A13" s="83">
        <v>2020</v>
      </c>
      <c r="B13" s="83">
        <v>129876.05</v>
      </c>
      <c r="C13" s="83">
        <v>159918.696</v>
      </c>
      <c r="D13" s="83">
        <v>16981.13</v>
      </c>
      <c r="E13" s="83">
        <v>12699.207</v>
      </c>
      <c r="F13" s="83">
        <v>10082.343000000001</v>
      </c>
      <c r="G13" s="83">
        <v>9974.2109999999993</v>
      </c>
      <c r="H13" s="83">
        <v>8546.58</v>
      </c>
      <c r="I13" s="83">
        <v>9950.26</v>
      </c>
      <c r="J13" s="83">
        <v>8037.5</v>
      </c>
      <c r="K13" s="83">
        <v>5103.4979999999996</v>
      </c>
      <c r="L13" s="83">
        <v>4830</v>
      </c>
      <c r="M13" s="83">
        <v>2922.68</v>
      </c>
      <c r="N13" s="83">
        <v>3040.5340000000001</v>
      </c>
      <c r="O13" s="83">
        <v>2480.3429999999998</v>
      </c>
      <c r="P13" s="83">
        <v>2095.308</v>
      </c>
      <c r="Q13" s="83">
        <v>1941.192</v>
      </c>
      <c r="R13" s="83">
        <v>1550.1959999999999</v>
      </c>
    </row>
    <row r="14" spans="1:18">
      <c r="A14" s="83">
        <v>2021</v>
      </c>
      <c r="B14" s="83">
        <v>150382.41</v>
      </c>
      <c r="C14" s="83">
        <v>149684.37599999999</v>
      </c>
      <c r="D14" s="83">
        <v>17687.669999999998</v>
      </c>
      <c r="E14" s="83">
        <v>10231.772000000001</v>
      </c>
      <c r="F14" s="83">
        <v>10724.161</v>
      </c>
      <c r="G14" s="83">
        <v>10796.648999999999</v>
      </c>
      <c r="H14" s="83">
        <v>8837.4509999999991</v>
      </c>
      <c r="I14" s="83">
        <v>9755.8230000000003</v>
      </c>
      <c r="J14" s="83">
        <v>9009.3119999999999</v>
      </c>
      <c r="K14" s="83">
        <v>5437.5</v>
      </c>
      <c r="L14" s="83">
        <v>4990.4949999999999</v>
      </c>
      <c r="M14" s="83">
        <v>3026.0250000000001</v>
      </c>
      <c r="N14" s="83">
        <v>3145.1790000000001</v>
      </c>
      <c r="O14" s="83">
        <v>2923.8739999999998</v>
      </c>
      <c r="P14" s="83">
        <v>2470.08</v>
      </c>
      <c r="Q14" s="83">
        <v>2348.5529999999999</v>
      </c>
      <c r="R14" s="83">
        <v>2026.35</v>
      </c>
    </row>
    <row r="15" spans="1:18">
      <c r="A15" s="83">
        <v>2022</v>
      </c>
      <c r="B15" s="83">
        <v>204919.326</v>
      </c>
      <c r="C15" s="83">
        <v>148526.83799999999</v>
      </c>
      <c r="D15" s="83">
        <v>19073.445</v>
      </c>
      <c r="E15" s="83">
        <v>9193.6749999999993</v>
      </c>
      <c r="F15" s="83">
        <v>10899.516</v>
      </c>
      <c r="G15" s="83">
        <v>11615.688</v>
      </c>
      <c r="H15" s="83">
        <v>10532.82</v>
      </c>
      <c r="I15" s="83">
        <v>10424.4</v>
      </c>
      <c r="J15" s="83">
        <v>10760.4</v>
      </c>
      <c r="K15" s="83">
        <v>5540.1210000000001</v>
      </c>
      <c r="L15" s="83">
        <v>5464.5249999999996</v>
      </c>
      <c r="M15" s="83">
        <v>3226.8539999999998</v>
      </c>
      <c r="N15" s="83">
        <v>3251.328</v>
      </c>
      <c r="O15" s="83">
        <v>3310.944</v>
      </c>
      <c r="P15" s="83">
        <v>3069.7919999999999</v>
      </c>
      <c r="Q15" s="83">
        <v>2437.3200000000002</v>
      </c>
      <c r="R15" s="83">
        <v>2281.7339999999999</v>
      </c>
    </row>
    <row r="16" spans="1:18">
      <c r="A16" s="83">
        <v>2023</v>
      </c>
      <c r="B16" s="83">
        <v>250359.51</v>
      </c>
      <c r="C16" s="83">
        <v>143969.56200000001</v>
      </c>
      <c r="D16" s="83">
        <v>19071.858</v>
      </c>
      <c r="E16" s="83">
        <v>8466.7880000000005</v>
      </c>
      <c r="F16" s="83">
        <v>11512.206</v>
      </c>
      <c r="G16" s="83">
        <v>12157.424999999999</v>
      </c>
      <c r="H16" s="83">
        <v>12121.208000000001</v>
      </c>
      <c r="I16" s="83">
        <v>10702.01</v>
      </c>
      <c r="J16" s="83">
        <v>12458.038</v>
      </c>
      <c r="K16" s="83">
        <v>5833.6980000000003</v>
      </c>
      <c r="L16" s="83">
        <v>5873.1959999999999</v>
      </c>
      <c r="M16" s="83">
        <v>3098.8980000000001</v>
      </c>
      <c r="N16" s="83">
        <v>3122.152</v>
      </c>
      <c r="O16" s="83">
        <v>3673.56</v>
      </c>
      <c r="P16" s="83">
        <v>2743.9259999999999</v>
      </c>
      <c r="Q16" s="83">
        <v>2605.6149999999998</v>
      </c>
      <c r="R16" s="83">
        <v>2325.96</v>
      </c>
    </row>
    <row r="17" spans="1:18">
      <c r="A17" s="83">
        <v>2024</v>
      </c>
      <c r="B17" s="83">
        <v>269723.09999999998</v>
      </c>
      <c r="C17" s="83">
        <v>142000.70000000001</v>
      </c>
      <c r="D17" s="83">
        <v>18820.400000000001</v>
      </c>
      <c r="E17" s="83">
        <v>7341.8</v>
      </c>
      <c r="F17" s="83">
        <v>11542.6</v>
      </c>
      <c r="G17" s="83">
        <v>12120</v>
      </c>
      <c r="H17" s="83">
        <v>18045.3</v>
      </c>
      <c r="I17" s="83">
        <v>12152.4</v>
      </c>
      <c r="J17" s="83">
        <v>13523.3</v>
      </c>
      <c r="K17" s="83">
        <v>6073</v>
      </c>
      <c r="L17" s="83">
        <v>6047</v>
      </c>
      <c r="M17" s="83">
        <v>3177.2</v>
      </c>
      <c r="N17" s="83">
        <v>3193</v>
      </c>
      <c r="O17" s="83">
        <v>3829.9</v>
      </c>
      <c r="P17" s="83">
        <v>2884.2</v>
      </c>
      <c r="Q17" s="83">
        <v>2557.1999999999998</v>
      </c>
      <c r="R17" s="83">
        <v>2299</v>
      </c>
    </row>
    <row r="18" spans="1:18">
      <c r="A18" s="21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8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8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8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8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8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8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8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81"/>
      <c r="M25" s="81"/>
      <c r="N25" s="81"/>
      <c r="O25" s="81"/>
      <c r="P25" s="81"/>
      <c r="Q25" s="81"/>
      <c r="R25" s="81"/>
    </row>
    <row r="26" spans="1:18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81"/>
      <c r="M26" s="81"/>
      <c r="N26" s="81"/>
      <c r="O26" s="81"/>
      <c r="P26" s="81"/>
      <c r="Q26" s="81"/>
      <c r="R26" s="81"/>
    </row>
    <row r="27" spans="1:18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81"/>
      <c r="M27" s="81"/>
      <c r="N27" s="81"/>
      <c r="O27" s="81"/>
      <c r="P27" s="81"/>
      <c r="Q27" s="81"/>
      <c r="R27" s="81"/>
    </row>
    <row r="28" spans="1:18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81"/>
      <c r="M28" s="81"/>
      <c r="N28" s="81"/>
      <c r="O28" s="81"/>
      <c r="P28" s="81"/>
      <c r="Q28" s="81"/>
      <c r="R28" s="81"/>
    </row>
    <row r="29" spans="1:18">
      <c r="A29" s="20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81"/>
      <c r="M29" s="81"/>
      <c r="N29" s="81"/>
      <c r="O29" s="81"/>
      <c r="P29" s="81"/>
      <c r="Q29" s="81"/>
      <c r="R29" s="81"/>
    </row>
    <row r="30" spans="1:18">
      <c r="L30" s="81"/>
      <c r="M30" s="81"/>
      <c r="N30" s="81"/>
      <c r="O30" s="81"/>
      <c r="P30" s="81"/>
      <c r="Q30" s="81"/>
      <c r="R30" s="81"/>
    </row>
    <row r="31" spans="1:18">
      <c r="L31" s="81"/>
      <c r="M31" s="81"/>
      <c r="N31" s="81"/>
      <c r="O31" s="81"/>
      <c r="P31" s="81"/>
      <c r="Q31" s="81"/>
      <c r="R31" s="81"/>
    </row>
    <row r="32" spans="1:18">
      <c r="L32" s="81"/>
      <c r="M32" s="81"/>
      <c r="N32" s="81"/>
      <c r="O32" s="81"/>
      <c r="P32" s="81"/>
      <c r="Q32" s="81"/>
      <c r="R32" s="81"/>
    </row>
    <row r="33" spans="1:18">
      <c r="L33" s="81"/>
      <c r="M33" s="81"/>
      <c r="N33" s="81"/>
      <c r="O33" s="81"/>
      <c r="P33" s="81"/>
      <c r="Q33" s="81"/>
      <c r="R33" s="81"/>
    </row>
    <row r="34" spans="1:18">
      <c r="L34" s="82"/>
      <c r="M34" s="81"/>
      <c r="N34" s="81"/>
      <c r="O34" s="81"/>
      <c r="P34" s="81"/>
      <c r="Q34" s="81"/>
      <c r="R34" s="81"/>
    </row>
    <row r="35" spans="1:18">
      <c r="L35" s="81"/>
      <c r="M35" s="81"/>
      <c r="N35" s="81"/>
      <c r="O35" s="81"/>
      <c r="P35" s="81"/>
      <c r="Q35" s="81"/>
      <c r="R35" s="81"/>
    </row>
    <row r="36" spans="1:18">
      <c r="L36" s="81"/>
      <c r="M36" s="81"/>
      <c r="N36" s="81"/>
      <c r="O36" s="81"/>
      <c r="P36" s="81"/>
      <c r="Q36" s="81"/>
      <c r="R36" s="81"/>
    </row>
    <row r="37" spans="1:18">
      <c r="L37" s="81"/>
      <c r="M37" s="81"/>
      <c r="N37" s="81"/>
      <c r="O37" s="81"/>
      <c r="P37" s="81"/>
      <c r="Q37" s="81"/>
      <c r="R37" s="81"/>
    </row>
    <row r="38" spans="1:18">
      <c r="L38" s="82"/>
      <c r="M38" s="82"/>
      <c r="N38" s="82"/>
      <c r="O38" s="82"/>
      <c r="P38" s="81"/>
      <c r="Q38" s="81"/>
      <c r="R38" s="81"/>
    </row>
    <row r="39" spans="1:18">
      <c r="L39" s="81"/>
      <c r="M39" s="81"/>
      <c r="N39" s="81"/>
      <c r="O39" s="81"/>
      <c r="P39" s="81"/>
      <c r="Q39" s="81"/>
      <c r="R39" s="81"/>
    </row>
    <row r="40" spans="1:18">
      <c r="L40" s="82"/>
      <c r="M40" s="82"/>
      <c r="N40" s="81"/>
      <c r="O40" s="81"/>
      <c r="P40" s="81"/>
      <c r="Q40" s="81"/>
      <c r="R40" s="81"/>
    </row>
    <row r="41" spans="1:18">
      <c r="L41" s="81"/>
      <c r="M41" s="81"/>
      <c r="N41" s="81"/>
      <c r="O41" s="81"/>
      <c r="P41" s="81"/>
      <c r="Q41" s="81"/>
      <c r="R41" s="81"/>
    </row>
    <row r="42" spans="1:18">
      <c r="L42" s="81"/>
      <c r="M42" s="81"/>
      <c r="N42" s="81"/>
      <c r="O42" s="81"/>
      <c r="P42" s="81"/>
      <c r="Q42" s="81"/>
      <c r="R42" s="81"/>
    </row>
    <row r="43" spans="1:18">
      <c r="L43" s="81"/>
      <c r="M43" s="82"/>
      <c r="N43" s="82"/>
      <c r="O43" s="82"/>
      <c r="P43" s="82"/>
      <c r="Q43" s="81"/>
      <c r="R43" s="81"/>
    </row>
    <row r="44" spans="1:18">
      <c r="L44" s="81"/>
      <c r="M44" s="81"/>
      <c r="N44" s="81"/>
      <c r="O44" s="81"/>
      <c r="P44" s="81"/>
      <c r="Q44" s="81"/>
      <c r="R44" s="81"/>
    </row>
    <row r="45" spans="1:18">
      <c r="L45" s="81"/>
      <c r="M45" s="81"/>
      <c r="N45" s="81"/>
      <c r="O45" s="81"/>
      <c r="P45" s="81"/>
      <c r="Q45" s="81"/>
      <c r="R45" s="81"/>
    </row>
    <row r="46" spans="1:18">
      <c r="A46" s="21"/>
      <c r="B46" s="13"/>
      <c r="C46" s="13"/>
      <c r="D46" s="13"/>
      <c r="E46" s="13"/>
      <c r="F46" s="13"/>
      <c r="G46" s="13"/>
      <c r="H46" s="13"/>
      <c r="L46" s="81"/>
      <c r="M46" s="81"/>
      <c r="N46" s="81"/>
      <c r="O46" s="81"/>
      <c r="P46" s="81"/>
      <c r="Q46" s="81"/>
      <c r="R46" s="81"/>
    </row>
    <row r="47" spans="1:18">
      <c r="A47" s="21"/>
      <c r="B47" s="13"/>
      <c r="C47" s="13"/>
      <c r="D47" s="13"/>
      <c r="E47" s="13"/>
      <c r="F47" s="13"/>
      <c r="G47" s="13"/>
      <c r="H47" s="13"/>
      <c r="L47" s="81"/>
      <c r="M47" s="81"/>
      <c r="N47" s="81"/>
      <c r="O47" s="81"/>
      <c r="P47" s="81"/>
      <c r="Q47" s="81"/>
      <c r="R47" s="81"/>
    </row>
    <row r="48" spans="1:18">
      <c r="A48" s="21"/>
      <c r="B48" s="13"/>
      <c r="C48" s="13"/>
      <c r="D48" s="13"/>
      <c r="E48" s="13"/>
      <c r="F48" s="13"/>
      <c r="G48" s="13"/>
      <c r="H48" s="13"/>
      <c r="L48" s="81"/>
      <c r="M48" s="81"/>
      <c r="N48" s="81"/>
      <c r="O48" s="81"/>
      <c r="P48" s="81"/>
      <c r="Q48" s="81"/>
      <c r="R48" s="81"/>
    </row>
    <row r="49" spans="1:18">
      <c r="A49" s="21"/>
      <c r="B49" s="13"/>
      <c r="C49" s="13"/>
      <c r="D49" s="13"/>
      <c r="E49" s="13"/>
      <c r="F49" s="13"/>
      <c r="G49" s="13"/>
      <c r="H49" s="13"/>
      <c r="L49" s="81"/>
      <c r="M49" s="81"/>
      <c r="N49" s="81"/>
      <c r="O49" s="81"/>
      <c r="P49" s="81"/>
      <c r="Q49" s="81"/>
      <c r="R49" s="81"/>
    </row>
    <row r="50" spans="1:18">
      <c r="A50" s="21"/>
      <c r="B50" s="13"/>
      <c r="C50" s="13"/>
      <c r="D50" s="13"/>
      <c r="E50" s="13"/>
      <c r="F50" s="13"/>
      <c r="G50" s="13"/>
      <c r="H50" s="13"/>
      <c r="L50" s="81"/>
      <c r="M50" s="81"/>
      <c r="N50" s="81"/>
      <c r="O50" s="81"/>
      <c r="P50" s="81"/>
      <c r="Q50" s="82"/>
      <c r="R50" s="82"/>
    </row>
    <row r="51" spans="1:18">
      <c r="A51" s="21"/>
      <c r="B51" s="13"/>
      <c r="C51" s="13"/>
      <c r="D51" s="13"/>
      <c r="E51" s="13"/>
      <c r="F51" s="13"/>
      <c r="G51" s="13"/>
      <c r="H51" s="13"/>
      <c r="L51" s="81"/>
      <c r="M51" s="81"/>
      <c r="N51" s="81"/>
      <c r="O51" s="81"/>
      <c r="P51" s="82"/>
      <c r="Q51" s="82"/>
      <c r="R51" s="82"/>
    </row>
    <row r="52" spans="1:18">
      <c r="A52" s="21"/>
      <c r="B52" s="13"/>
      <c r="C52" s="13"/>
      <c r="D52" s="13"/>
      <c r="E52" s="13"/>
      <c r="F52" s="13"/>
      <c r="G52" s="13"/>
      <c r="H52" s="13"/>
      <c r="L52" s="82"/>
      <c r="M52" s="82"/>
      <c r="N52" s="82"/>
      <c r="O52" s="82"/>
      <c r="P52" s="82"/>
      <c r="Q52" s="82"/>
      <c r="R52" s="82"/>
    </row>
    <row r="53" spans="1:18">
      <c r="A53" s="21"/>
      <c r="B53" s="13"/>
      <c r="C53" s="13"/>
      <c r="D53" s="13"/>
      <c r="E53" s="13"/>
      <c r="F53" s="13"/>
      <c r="G53" s="13"/>
      <c r="H53" s="13"/>
      <c r="L53" s="82"/>
      <c r="M53" s="82"/>
      <c r="N53" s="82"/>
      <c r="O53" s="82"/>
      <c r="P53" s="82"/>
      <c r="Q53" s="82"/>
      <c r="R53" s="82"/>
    </row>
    <row r="54" spans="1:18">
      <c r="A54" s="21"/>
      <c r="B54" s="13"/>
      <c r="C54" s="13"/>
      <c r="D54" s="13"/>
      <c r="E54" s="13"/>
      <c r="F54" s="13"/>
      <c r="G54" s="13"/>
      <c r="H54" s="13"/>
      <c r="L54" s="81"/>
      <c r="M54" s="81"/>
      <c r="N54" s="82"/>
      <c r="O54" s="82"/>
      <c r="P54" s="82"/>
      <c r="Q54" s="82"/>
      <c r="R54" s="82"/>
    </row>
    <row r="55" spans="1:18">
      <c r="A55" s="21"/>
      <c r="B55" s="13"/>
      <c r="C55" s="13"/>
      <c r="D55" s="13"/>
      <c r="E55" s="13"/>
      <c r="F55" s="13"/>
      <c r="G55" s="13"/>
      <c r="H55" s="13"/>
      <c r="L55" s="81"/>
      <c r="M55" s="82"/>
      <c r="N55" s="82"/>
      <c r="O55" s="82"/>
      <c r="P55" s="82"/>
      <c r="Q55" s="82"/>
      <c r="R55" s="82"/>
    </row>
    <row r="56" spans="1:18">
      <c r="A56" s="21"/>
      <c r="B56" s="13"/>
      <c r="C56" s="13"/>
      <c r="D56" s="13"/>
      <c r="E56" s="13"/>
      <c r="F56" s="13"/>
      <c r="G56" s="13"/>
      <c r="H56" s="13"/>
    </row>
    <row r="57" spans="1:18">
      <c r="A57" s="21"/>
      <c r="B57" s="13"/>
      <c r="C57" s="13"/>
      <c r="D57" s="13"/>
      <c r="E57" s="13"/>
      <c r="F57" s="13"/>
      <c r="G57" s="13"/>
      <c r="H57" s="13"/>
    </row>
    <row r="58" spans="1:18">
      <c r="A58" s="21"/>
      <c r="B58" s="13"/>
      <c r="C58" s="13"/>
      <c r="D58" s="13"/>
      <c r="E58" s="13"/>
      <c r="F58" s="13"/>
      <c r="G58" s="13"/>
      <c r="H58" s="13"/>
    </row>
    <row r="59" spans="1:18">
      <c r="A59" s="21"/>
      <c r="B59" s="13"/>
      <c r="C59" s="13"/>
      <c r="D59" s="13"/>
      <c r="E59" s="13"/>
      <c r="F59" s="13"/>
      <c r="G59" s="13"/>
      <c r="H59" s="13"/>
    </row>
    <row r="60" spans="1:18">
      <c r="A60" s="21"/>
      <c r="B60" s="13"/>
      <c r="C60" s="13"/>
      <c r="D60" s="13"/>
      <c r="E60" s="13"/>
      <c r="F60" s="13"/>
      <c r="G60" s="13"/>
      <c r="H60" s="13"/>
    </row>
    <row r="61" spans="1:18">
      <c r="A61" s="21"/>
      <c r="B61" s="13"/>
      <c r="C61" s="13"/>
      <c r="D61" s="13"/>
      <c r="E61" s="13"/>
      <c r="F61" s="13"/>
      <c r="G61" s="13"/>
      <c r="H61" s="13"/>
    </row>
    <row r="62" spans="1:18">
      <c r="A62" s="21"/>
      <c r="B62" s="13"/>
      <c r="C62" s="13"/>
      <c r="D62" s="13"/>
      <c r="E62" s="13"/>
      <c r="F62" s="13"/>
      <c r="G62" s="13"/>
      <c r="H62" s="13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C29"/>
  <sheetViews>
    <sheetView zoomScale="125" workbookViewId="0">
      <selection activeCell="B12" sqref="B12"/>
    </sheetView>
  </sheetViews>
  <sheetFormatPr baseColWidth="10" defaultColWidth="8.83203125" defaultRowHeight="15"/>
  <sheetData>
    <row r="1" spans="1:29">
      <c r="A1" s="13" t="s">
        <v>0</v>
      </c>
      <c r="B1" s="84" t="s">
        <v>355</v>
      </c>
      <c r="C1" s="84" t="s">
        <v>417</v>
      </c>
      <c r="D1" s="84" t="s">
        <v>418</v>
      </c>
      <c r="E1" s="84" t="s">
        <v>392</v>
      </c>
      <c r="F1" s="85" t="s">
        <v>513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>
      <c r="A2" s="1">
        <v>1998</v>
      </c>
      <c r="B2" s="86">
        <v>73014</v>
      </c>
      <c r="C2" s="86">
        <v>48236</v>
      </c>
      <c r="D2" s="86">
        <v>37055</v>
      </c>
      <c r="E2" s="86">
        <v>37255</v>
      </c>
      <c r="F2" s="86">
        <v>295373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3"/>
    </row>
    <row r="3" spans="1:29">
      <c r="A3" s="1">
        <v>1999</v>
      </c>
      <c r="B3" s="86">
        <v>76834</v>
      </c>
      <c r="C3" s="86">
        <v>57266</v>
      </c>
      <c r="D3" s="86">
        <v>37420</v>
      </c>
      <c r="E3" s="86">
        <v>38629</v>
      </c>
      <c r="F3" s="86">
        <v>304574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3"/>
    </row>
    <row r="4" spans="1:29">
      <c r="A4" s="1">
        <v>2000</v>
      </c>
      <c r="B4" s="86">
        <v>83396</v>
      </c>
      <c r="C4" s="86">
        <v>67825</v>
      </c>
      <c r="D4" s="86">
        <v>38396</v>
      </c>
      <c r="E4" s="86">
        <v>38940</v>
      </c>
      <c r="F4" s="86">
        <v>319310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3"/>
    </row>
    <row r="5" spans="1:29">
      <c r="A5" s="1">
        <v>2001</v>
      </c>
      <c r="B5" s="86">
        <v>88258</v>
      </c>
      <c r="C5" s="86">
        <v>76736</v>
      </c>
      <c r="D5" s="86">
        <v>41417</v>
      </c>
      <c r="E5" s="86">
        <v>41241</v>
      </c>
      <c r="F5" s="86">
        <v>335344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3"/>
    </row>
    <row r="6" spans="1:29">
      <c r="A6" s="1">
        <v>2002</v>
      </c>
      <c r="B6" s="86">
        <v>96574</v>
      </c>
      <c r="C6" s="86">
        <v>71926</v>
      </c>
      <c r="D6" s="86">
        <v>43549</v>
      </c>
      <c r="E6" s="86">
        <v>42415</v>
      </c>
      <c r="F6" s="86">
        <v>331859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3"/>
    </row>
    <row r="7" spans="1:29">
      <c r="A7" s="1">
        <v>2003</v>
      </c>
      <c r="B7" s="86">
        <v>95225</v>
      </c>
      <c r="C7" s="86">
        <v>67693</v>
      </c>
      <c r="D7" s="86">
        <v>44607</v>
      </c>
      <c r="E7" s="86">
        <v>50464</v>
      </c>
      <c r="F7" s="86">
        <v>314520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3"/>
    </row>
    <row r="8" spans="1:29">
      <c r="A8" s="1">
        <v>2004</v>
      </c>
      <c r="B8" s="86">
        <v>92970</v>
      </c>
      <c r="C8" s="86">
        <v>50747</v>
      </c>
      <c r="D8" s="86">
        <v>49499</v>
      </c>
      <c r="E8" s="86">
        <v>42263</v>
      </c>
      <c r="F8" s="86">
        <v>329560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3"/>
    </row>
    <row r="9" spans="1:29">
      <c r="A9" s="1">
        <v>2005</v>
      </c>
      <c r="B9" s="86">
        <v>88663</v>
      </c>
      <c r="C9" s="86">
        <v>45518</v>
      </c>
      <c r="D9" s="86">
        <v>50168</v>
      </c>
      <c r="E9" s="86">
        <v>42235</v>
      </c>
      <c r="F9" s="86">
        <v>338182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3"/>
    </row>
    <row r="10" spans="1:29">
      <c r="A10" s="1">
        <v>2006</v>
      </c>
      <c r="B10" s="86">
        <v>89179</v>
      </c>
      <c r="C10" s="86">
        <v>46019</v>
      </c>
      <c r="D10" s="86">
        <v>51863</v>
      </c>
      <c r="E10" s="86">
        <v>44983</v>
      </c>
      <c r="F10" s="86">
        <v>350940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3"/>
    </row>
    <row r="11" spans="1:29">
      <c r="A11" s="1">
        <v>2007</v>
      </c>
      <c r="B11" s="86">
        <v>96189</v>
      </c>
      <c r="C11" s="86">
        <v>46313</v>
      </c>
      <c r="D11" s="86">
        <v>52867</v>
      </c>
      <c r="E11" s="86">
        <v>45535</v>
      </c>
      <c r="F11" s="86">
        <v>382901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3"/>
    </row>
    <row r="12" spans="1:29">
      <c r="A12" s="1">
        <v>2008</v>
      </c>
      <c r="B12" s="86">
        <v>119338</v>
      </c>
      <c r="C12" s="86">
        <v>56367</v>
      </c>
      <c r="D12" s="86">
        <v>61699</v>
      </c>
      <c r="E12" s="86">
        <v>52631</v>
      </c>
      <c r="F12" s="86">
        <v>381581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3"/>
    </row>
    <row r="13" spans="1:29">
      <c r="A13" s="1">
        <v>2009</v>
      </c>
      <c r="B13" s="86">
        <v>127444</v>
      </c>
      <c r="C13" s="86">
        <v>60800</v>
      </c>
      <c r="D13" s="86">
        <v>61311</v>
      </c>
      <c r="E13" s="86">
        <v>54853</v>
      </c>
      <c r="F13" s="86">
        <v>386515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3"/>
    </row>
    <row r="14" spans="1:29">
      <c r="A14" s="1">
        <v>2010</v>
      </c>
      <c r="B14" s="86">
        <v>135616</v>
      </c>
      <c r="C14" s="86">
        <v>64588</v>
      </c>
      <c r="D14" s="86">
        <v>63471</v>
      </c>
      <c r="E14" s="86">
        <v>58345</v>
      </c>
      <c r="F14" s="86">
        <v>401257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3"/>
    </row>
    <row r="15" spans="1:29">
      <c r="A15" s="1">
        <v>2011</v>
      </c>
      <c r="B15" s="86">
        <v>141313</v>
      </c>
      <c r="C15" s="86">
        <v>71364</v>
      </c>
      <c r="D15" s="86">
        <v>66007</v>
      </c>
      <c r="E15" s="86">
        <v>60974</v>
      </c>
      <c r="F15" s="86">
        <v>424837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3"/>
    </row>
    <row r="16" spans="1:29">
      <c r="A16" s="1">
        <v>2012</v>
      </c>
      <c r="B16" s="86">
        <v>154239</v>
      </c>
      <c r="C16" s="86">
        <v>77560</v>
      </c>
      <c r="D16" s="86">
        <v>69152</v>
      </c>
      <c r="E16" s="86">
        <v>67786</v>
      </c>
      <c r="F16" s="86">
        <v>450907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3"/>
    </row>
    <row r="17" spans="1:18">
      <c r="A17" s="1">
        <v>2013</v>
      </c>
      <c r="B17" s="86">
        <v>170189</v>
      </c>
      <c r="C17" s="86">
        <v>91434</v>
      </c>
      <c r="D17" s="86">
        <v>70479</v>
      </c>
      <c r="E17" s="86">
        <v>72390</v>
      </c>
      <c r="F17" s="86">
        <v>481560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>
      <c r="A18" s="1">
        <v>2014</v>
      </c>
      <c r="B18" s="86">
        <v>196750</v>
      </c>
      <c r="C18" s="86">
        <v>112950</v>
      </c>
      <c r="D18" s="86">
        <v>73838</v>
      </c>
      <c r="E18" s="86">
        <v>75951</v>
      </c>
      <c r="F18" s="86">
        <v>515437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>
      <c r="A19" s="1">
        <v>2015</v>
      </c>
      <c r="B19" s="86">
        <v>216932</v>
      </c>
      <c r="C19" s="86">
        <v>141651</v>
      </c>
      <c r="D19" s="86">
        <v>75385</v>
      </c>
      <c r="E19" s="86">
        <v>81304</v>
      </c>
      <c r="F19" s="86">
        <v>528567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spans="1:18">
      <c r="A20" s="1">
        <v>2016</v>
      </c>
      <c r="B20" s="86">
        <v>230711</v>
      </c>
      <c r="C20" s="86">
        <v>167180</v>
      </c>
      <c r="D20" s="86">
        <v>76838</v>
      </c>
      <c r="E20" s="86">
        <v>83046</v>
      </c>
      <c r="F20" s="86">
        <v>521047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spans="1:18">
      <c r="A21" s="1">
        <v>2017</v>
      </c>
      <c r="B21" s="86">
        <v>232710</v>
      </c>
      <c r="C21" s="86">
        <v>186003</v>
      </c>
      <c r="D21" s="86">
        <v>78700</v>
      </c>
      <c r="E21" s="86">
        <v>83708</v>
      </c>
      <c r="F21" s="86">
        <v>513671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>
      <c r="A22" s="1">
        <v>2018</v>
      </c>
      <c r="B22" s="86">
        <v>230780</v>
      </c>
      <c r="C22" s="86">
        <v>203461</v>
      </c>
      <c r="D22" s="86">
        <v>81580</v>
      </c>
      <c r="E22" s="86">
        <v>84320</v>
      </c>
      <c r="F22" s="86">
        <v>495158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spans="1:18">
      <c r="A23" s="1">
        <v>2019</v>
      </c>
      <c r="B23" s="86">
        <v>220542</v>
      </c>
      <c r="C23" s="86">
        <v>205207</v>
      </c>
      <c r="D23" s="86">
        <v>81971</v>
      </c>
      <c r="E23" s="86">
        <v>84440</v>
      </c>
      <c r="F23" s="86">
        <v>483336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1:18">
      <c r="A24" s="1">
        <v>2020</v>
      </c>
      <c r="B24" s="86">
        <v>190590</v>
      </c>
      <c r="C24" s="86">
        <v>182106</v>
      </c>
      <c r="D24" s="86">
        <v>75029</v>
      </c>
      <c r="E24" s="86">
        <v>76419</v>
      </c>
      <c r="F24" s="86">
        <v>389951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pans="1:18">
      <c r="A25" s="1">
        <v>2021</v>
      </c>
      <c r="B25" s="87">
        <v>188194</v>
      </c>
      <c r="C25" s="87">
        <v>200301</v>
      </c>
      <c r="D25" s="87">
        <v>78712</v>
      </c>
      <c r="E25" s="87">
        <v>78770</v>
      </c>
      <c r="F25" s="86">
        <v>402542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>
      <c r="A26" s="1">
        <v>2022</v>
      </c>
      <c r="B26" s="87">
        <v>202801</v>
      </c>
      <c r="C26" s="87">
        <v>240230</v>
      </c>
      <c r="D26" s="87">
        <v>84830</v>
      </c>
      <c r="E26" s="87">
        <v>85998</v>
      </c>
      <c r="F26" s="86">
        <v>443329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>
      <c r="A27" s="1">
        <v>2023</v>
      </c>
      <c r="B27" s="88">
        <v>210163</v>
      </c>
      <c r="C27" s="88">
        <v>280922</v>
      </c>
      <c r="D27" s="88">
        <v>88717</v>
      </c>
      <c r="E27" s="88">
        <v>84307</v>
      </c>
      <c r="F27" s="86">
        <v>462581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>
      <c r="A28" s="1">
        <v>2024</v>
      </c>
      <c r="B28" s="88">
        <v>217016</v>
      </c>
      <c r="C28" s="88">
        <v>305377</v>
      </c>
      <c r="D28" s="88">
        <v>95667</v>
      </c>
      <c r="E28" s="88">
        <v>86008</v>
      </c>
      <c r="F28" s="86">
        <v>473698</v>
      </c>
      <c r="G28" s="14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8">
      <c r="G29" s="1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2"/>
  <dimension ref="A1:C47"/>
  <sheetViews>
    <sheetView workbookViewId="0">
      <selection activeCell="J58" sqref="J58"/>
    </sheetView>
  </sheetViews>
  <sheetFormatPr baseColWidth="10" defaultColWidth="8.83203125" defaultRowHeight="15"/>
  <sheetData>
    <row r="1" spans="1:3">
      <c r="A1" s="1" t="s">
        <v>0</v>
      </c>
      <c r="B1" t="s">
        <v>419</v>
      </c>
      <c r="C1" t="s">
        <v>420</v>
      </c>
    </row>
    <row r="2" spans="1:3">
      <c r="A2">
        <v>1980</v>
      </c>
      <c r="B2">
        <v>220903</v>
      </c>
      <c r="C2">
        <v>30362</v>
      </c>
    </row>
    <row r="3" spans="1:3">
      <c r="A3">
        <v>1981</v>
      </c>
      <c r="B3">
        <v>219762</v>
      </c>
      <c r="C3">
        <v>32642</v>
      </c>
    </row>
    <row r="4" spans="1:3">
      <c r="A4">
        <v>1982</v>
      </c>
      <c r="B4">
        <v>215397</v>
      </c>
      <c r="C4">
        <v>39749</v>
      </c>
    </row>
    <row r="5" spans="1:3">
      <c r="A5">
        <v>1983</v>
      </c>
      <c r="B5">
        <v>213114</v>
      </c>
      <c r="C5">
        <v>42706</v>
      </c>
    </row>
    <row r="6" spans="1:3">
      <c r="A6">
        <v>1984</v>
      </c>
      <c r="B6">
        <v>212717</v>
      </c>
      <c r="C6">
        <v>44186</v>
      </c>
    </row>
    <row r="7" spans="1:3">
      <c r="A7">
        <v>1985</v>
      </c>
      <c r="B7">
        <v>214014</v>
      </c>
      <c r="C7">
        <v>47959</v>
      </c>
    </row>
    <row r="8" spans="1:3">
      <c r="A8">
        <v>1986</v>
      </c>
      <c r="B8">
        <v>214097</v>
      </c>
      <c r="C8">
        <v>51980</v>
      </c>
    </row>
    <row r="9" spans="1:3">
      <c r="A9">
        <v>1987</v>
      </c>
      <c r="B9">
        <v>213882</v>
      </c>
      <c r="C9">
        <v>55374</v>
      </c>
    </row>
    <row r="10" spans="1:3">
      <c r="A10">
        <v>1988</v>
      </c>
      <c r="B10">
        <v>213945</v>
      </c>
      <c r="C10">
        <v>58364</v>
      </c>
    </row>
    <row r="11" spans="1:3">
      <c r="A11">
        <v>1989</v>
      </c>
      <c r="B11">
        <v>217211</v>
      </c>
      <c r="C11">
        <v>61366</v>
      </c>
    </row>
    <row r="12" spans="1:3">
      <c r="A12">
        <v>1990</v>
      </c>
      <c r="B12">
        <v>224792</v>
      </c>
      <c r="C12">
        <v>64591</v>
      </c>
    </row>
    <row r="13" spans="1:3">
      <c r="A13">
        <v>1991</v>
      </c>
      <c r="B13">
        <v>231803</v>
      </c>
      <c r="C13">
        <v>67254</v>
      </c>
    </row>
    <row r="14" spans="1:3">
      <c r="A14">
        <v>1992</v>
      </c>
      <c r="B14">
        <v>244514</v>
      </c>
      <c r="C14">
        <v>67964</v>
      </c>
    </row>
    <row r="15" spans="1:3">
      <c r="A15">
        <v>1993</v>
      </c>
      <c r="B15">
        <v>252480</v>
      </c>
      <c r="C15">
        <v>66371</v>
      </c>
    </row>
    <row r="16" spans="1:3">
      <c r="A16">
        <v>1994</v>
      </c>
      <c r="B16">
        <v>253008</v>
      </c>
      <c r="C16">
        <v>65110</v>
      </c>
    </row>
    <row r="17" spans="1:3">
      <c r="A17">
        <v>1995</v>
      </c>
      <c r="B17">
        <v>252245</v>
      </c>
      <c r="C17">
        <v>63020</v>
      </c>
    </row>
    <row r="18" spans="1:3">
      <c r="A18">
        <v>1996</v>
      </c>
      <c r="B18">
        <v>248907</v>
      </c>
      <c r="C18">
        <v>63050</v>
      </c>
    </row>
    <row r="19" spans="1:3">
      <c r="A19">
        <v>1997</v>
      </c>
      <c r="B19">
        <v>244026</v>
      </c>
      <c r="C19">
        <v>62456</v>
      </c>
    </row>
    <row r="20" spans="1:3">
      <c r="A20">
        <v>1998</v>
      </c>
      <c r="B20">
        <v>240630</v>
      </c>
      <c r="C20">
        <v>64188</v>
      </c>
    </row>
    <row r="21" spans="1:3">
      <c r="A21">
        <v>1999</v>
      </c>
      <c r="B21">
        <v>241066</v>
      </c>
      <c r="C21">
        <v>68425</v>
      </c>
    </row>
    <row r="22" spans="1:3">
      <c r="A22">
        <v>2000</v>
      </c>
      <c r="B22">
        <v>234000</v>
      </c>
      <c r="C22">
        <v>75424</v>
      </c>
    </row>
    <row r="23" spans="1:3">
      <c r="A23">
        <v>2001</v>
      </c>
      <c r="B23">
        <v>237718</v>
      </c>
      <c r="C23">
        <v>82018</v>
      </c>
    </row>
    <row r="24" spans="1:3">
      <c r="A24">
        <v>2002</v>
      </c>
      <c r="B24">
        <v>247842</v>
      </c>
      <c r="C24">
        <v>87324</v>
      </c>
    </row>
    <row r="25" spans="1:3">
      <c r="A25">
        <v>2003</v>
      </c>
      <c r="B25">
        <v>259871</v>
      </c>
      <c r="C25">
        <v>87397</v>
      </c>
    </row>
    <row r="26" spans="1:3">
      <c r="A26">
        <v>2004</v>
      </c>
      <c r="B26">
        <v>265643</v>
      </c>
      <c r="C26">
        <v>86664</v>
      </c>
    </row>
    <row r="27" spans="1:3">
      <c r="A27">
        <v>2005</v>
      </c>
      <c r="B27">
        <v>271962</v>
      </c>
      <c r="C27">
        <v>85748</v>
      </c>
    </row>
    <row r="28" spans="1:3">
      <c r="A28">
        <v>2006</v>
      </c>
      <c r="B28">
        <v>275905</v>
      </c>
      <c r="C28">
        <v>87341</v>
      </c>
    </row>
    <row r="29" spans="1:3">
      <c r="A29">
        <v>2007</v>
      </c>
      <c r="B29">
        <v>293792</v>
      </c>
      <c r="C29">
        <v>90731</v>
      </c>
    </row>
    <row r="30" spans="1:3">
      <c r="A30">
        <v>2008</v>
      </c>
      <c r="B30">
        <v>295530</v>
      </c>
      <c r="C30">
        <v>95889</v>
      </c>
    </row>
    <row r="31" spans="1:3">
      <c r="A31">
        <v>2009</v>
      </c>
      <c r="B31">
        <v>303700</v>
      </c>
      <c r="C31">
        <v>97308</v>
      </c>
    </row>
    <row r="32" spans="1:3">
      <c r="A32">
        <v>2010</v>
      </c>
      <c r="B32">
        <v>308108</v>
      </c>
      <c r="C32">
        <v>99183</v>
      </c>
    </row>
    <row r="33" spans="1:3">
      <c r="A33">
        <v>2011</v>
      </c>
      <c r="B33">
        <v>312846</v>
      </c>
      <c r="C33">
        <v>101594</v>
      </c>
    </row>
    <row r="34" spans="1:3">
      <c r="A34">
        <v>2012</v>
      </c>
      <c r="B34">
        <v>308042</v>
      </c>
      <c r="C34">
        <v>104991</v>
      </c>
    </row>
    <row r="35" spans="1:3">
      <c r="A35">
        <v>2013</v>
      </c>
      <c r="B35">
        <v>305563</v>
      </c>
      <c r="C35">
        <v>111688</v>
      </c>
    </row>
    <row r="36" spans="1:3">
      <c r="A36">
        <v>2014</v>
      </c>
      <c r="B36">
        <v>308499</v>
      </c>
      <c r="C36">
        <v>128896</v>
      </c>
    </row>
    <row r="37" spans="1:3">
      <c r="A37">
        <v>2015</v>
      </c>
      <c r="B37">
        <v>309182</v>
      </c>
      <c r="C37">
        <v>139472</v>
      </c>
    </row>
    <row r="38" spans="1:3">
      <c r="A38">
        <v>2016</v>
      </c>
      <c r="B38">
        <v>306710</v>
      </c>
      <c r="C38">
        <v>145336</v>
      </c>
    </row>
    <row r="39" spans="1:3">
      <c r="A39">
        <v>2017</v>
      </c>
      <c r="B39">
        <v>281057</v>
      </c>
      <c r="C39">
        <v>134511</v>
      </c>
    </row>
    <row r="40" spans="1:3">
      <c r="A40">
        <v>2018</v>
      </c>
      <c r="B40">
        <v>297277</v>
      </c>
      <c r="C40">
        <v>134978</v>
      </c>
    </row>
    <row r="41" spans="1:3">
      <c r="A41">
        <v>2019</v>
      </c>
      <c r="B41">
        <v>312368</v>
      </c>
      <c r="C41">
        <v>141323</v>
      </c>
    </row>
    <row r="42" spans="1:3">
      <c r="A42">
        <v>2020</v>
      </c>
      <c r="B42">
        <v>334959</v>
      </c>
      <c r="C42">
        <v>129687</v>
      </c>
    </row>
    <row r="43" spans="1:3">
      <c r="A43">
        <v>2021</v>
      </c>
      <c r="B43">
        <v>353449</v>
      </c>
      <c r="C43">
        <v>156335</v>
      </c>
    </row>
    <row r="44" spans="1:3">
      <c r="A44">
        <v>2022</v>
      </c>
      <c r="B44">
        <v>340964</v>
      </c>
      <c r="C44">
        <v>197202</v>
      </c>
    </row>
    <row r="45" spans="1:3">
      <c r="A45">
        <v>2023</v>
      </c>
      <c r="B45">
        <v>342026</v>
      </c>
      <c r="C45">
        <v>219463</v>
      </c>
    </row>
    <row r="46" spans="1:3">
      <c r="A46">
        <v>2024</v>
      </c>
      <c r="B46">
        <v>350225</v>
      </c>
      <c r="C46">
        <v>214142</v>
      </c>
    </row>
    <row r="47" spans="1:3">
      <c r="B47" s="3"/>
      <c r="C47" s="3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4"/>
  <dimension ref="A1:D47"/>
  <sheetViews>
    <sheetView workbookViewId="0">
      <selection activeCell="D2" sqref="D2"/>
    </sheetView>
  </sheetViews>
  <sheetFormatPr baseColWidth="10" defaultColWidth="8.83203125" defaultRowHeight="15"/>
  <sheetData>
    <row r="1" spans="1:4">
      <c r="A1" s="1" t="s">
        <v>0</v>
      </c>
      <c r="B1" t="s">
        <v>419</v>
      </c>
      <c r="C1" t="s">
        <v>420</v>
      </c>
      <c r="D1" s="1"/>
    </row>
    <row r="2" spans="1:4">
      <c r="A2">
        <v>1980</v>
      </c>
      <c r="B2">
        <v>56438</v>
      </c>
      <c r="C2">
        <v>17897</v>
      </c>
    </row>
    <row r="3" spans="1:4">
      <c r="A3">
        <v>1981</v>
      </c>
      <c r="B3">
        <v>59898</v>
      </c>
      <c r="C3">
        <v>19687</v>
      </c>
      <c r="D3" s="1"/>
    </row>
    <row r="4" spans="1:4">
      <c r="A4">
        <v>1982</v>
      </c>
      <c r="B4">
        <v>58656</v>
      </c>
      <c r="C4">
        <v>25064</v>
      </c>
      <c r="D4" s="1"/>
    </row>
    <row r="5" spans="1:4">
      <c r="A5">
        <v>1983</v>
      </c>
      <c r="B5">
        <v>63649</v>
      </c>
      <c r="C5">
        <v>27497</v>
      </c>
      <c r="D5" s="1"/>
    </row>
    <row r="6" spans="1:4">
      <c r="A6">
        <v>1984</v>
      </c>
      <c r="B6">
        <v>64832</v>
      </c>
      <c r="C6">
        <v>27907</v>
      </c>
      <c r="D6" s="1"/>
    </row>
    <row r="7" spans="1:4">
      <c r="A7">
        <v>1985</v>
      </c>
      <c r="B7">
        <v>67187</v>
      </c>
      <c r="C7">
        <v>28831</v>
      </c>
      <c r="D7" s="1"/>
    </row>
    <row r="8" spans="1:4">
      <c r="A8">
        <v>1986</v>
      </c>
      <c r="B8">
        <v>69949</v>
      </c>
      <c r="C8">
        <v>31956</v>
      </c>
      <c r="D8" s="1"/>
    </row>
    <row r="9" spans="1:4">
      <c r="A9">
        <v>1987</v>
      </c>
      <c r="B9">
        <v>70594</v>
      </c>
      <c r="C9">
        <v>33389</v>
      </c>
      <c r="D9" s="1"/>
    </row>
    <row r="10" spans="1:4">
      <c r="A10">
        <v>1988</v>
      </c>
      <c r="B10">
        <v>67617</v>
      </c>
      <c r="C10">
        <v>35237</v>
      </c>
      <c r="D10" s="1"/>
    </row>
    <row r="11" spans="1:4">
      <c r="A11">
        <v>1989</v>
      </c>
      <c r="B11">
        <v>67365</v>
      </c>
      <c r="C11">
        <v>36700</v>
      </c>
      <c r="D11" s="1"/>
    </row>
    <row r="12" spans="1:4">
      <c r="A12">
        <v>1990</v>
      </c>
      <c r="B12">
        <v>69454</v>
      </c>
      <c r="C12">
        <v>38204</v>
      </c>
    </row>
    <row r="13" spans="1:4">
      <c r="A13">
        <v>1991</v>
      </c>
      <c r="B13">
        <v>72181</v>
      </c>
      <c r="C13">
        <v>41354</v>
      </c>
    </row>
    <row r="14" spans="1:4">
      <c r="A14">
        <v>1992</v>
      </c>
      <c r="B14">
        <v>76569</v>
      </c>
      <c r="C14">
        <v>41470</v>
      </c>
    </row>
    <row r="15" spans="1:4">
      <c r="A15">
        <v>1993</v>
      </c>
      <c r="B15">
        <v>77577</v>
      </c>
      <c r="C15">
        <v>39295</v>
      </c>
    </row>
    <row r="16" spans="1:4">
      <c r="A16">
        <v>1994</v>
      </c>
      <c r="B16">
        <v>76018</v>
      </c>
      <c r="C16">
        <v>37006</v>
      </c>
    </row>
    <row r="17" spans="1:3">
      <c r="A17">
        <v>1995</v>
      </c>
      <c r="B17">
        <v>71717</v>
      </c>
      <c r="C17">
        <v>35484</v>
      </c>
    </row>
    <row r="18" spans="1:3">
      <c r="A18">
        <v>1996</v>
      </c>
      <c r="B18">
        <v>68168</v>
      </c>
      <c r="C18">
        <v>35056</v>
      </c>
    </row>
    <row r="19" spans="1:3">
      <c r="A19">
        <v>1997</v>
      </c>
      <c r="B19">
        <v>64642</v>
      </c>
      <c r="C19">
        <v>36506</v>
      </c>
    </row>
    <row r="20" spans="1:3">
      <c r="A20">
        <v>1998</v>
      </c>
      <c r="B20">
        <v>62249</v>
      </c>
      <c r="C20">
        <v>37789</v>
      </c>
    </row>
    <row r="21" spans="1:3">
      <c r="A21">
        <v>1999</v>
      </c>
      <c r="B21">
        <v>60188</v>
      </c>
      <c r="C21">
        <v>41503</v>
      </c>
    </row>
    <row r="22" spans="1:3">
      <c r="A22">
        <v>2000</v>
      </c>
      <c r="B22">
        <v>56651</v>
      </c>
      <c r="C22">
        <v>47461</v>
      </c>
    </row>
    <row r="23" spans="1:3">
      <c r="A23">
        <v>2001</v>
      </c>
      <c r="B23">
        <v>56890</v>
      </c>
      <c r="C23">
        <v>52603</v>
      </c>
    </row>
    <row r="24" spans="1:3">
      <c r="A24">
        <v>2002</v>
      </c>
      <c r="B24">
        <v>61277</v>
      </c>
      <c r="C24">
        <v>58391</v>
      </c>
    </row>
    <row r="25" spans="1:3">
      <c r="A25">
        <v>2003</v>
      </c>
      <c r="B25">
        <v>67310</v>
      </c>
      <c r="C25">
        <v>60067</v>
      </c>
    </row>
    <row r="26" spans="1:3">
      <c r="A26">
        <v>2004</v>
      </c>
      <c r="B26">
        <v>66379</v>
      </c>
      <c r="C26">
        <v>57187</v>
      </c>
    </row>
    <row r="27" spans="1:3">
      <c r="A27">
        <v>2005</v>
      </c>
      <c r="B27">
        <v>66551</v>
      </c>
      <c r="C27">
        <v>54014</v>
      </c>
    </row>
    <row r="28" spans="1:3">
      <c r="A28">
        <v>2006</v>
      </c>
      <c r="B28">
        <v>67698</v>
      </c>
      <c r="C28">
        <v>55343</v>
      </c>
    </row>
    <row r="29" spans="1:3">
      <c r="A29">
        <v>2007</v>
      </c>
      <c r="B29">
        <v>71299</v>
      </c>
      <c r="C29">
        <v>60377</v>
      </c>
    </row>
    <row r="30" spans="1:3">
      <c r="A30">
        <v>2008</v>
      </c>
      <c r="B30">
        <v>74251</v>
      </c>
      <c r="C30">
        <v>63605</v>
      </c>
    </row>
    <row r="31" spans="1:3">
      <c r="A31">
        <v>2009</v>
      </c>
      <c r="B31">
        <v>78642</v>
      </c>
      <c r="C31">
        <v>66035</v>
      </c>
    </row>
    <row r="32" spans="1:3">
      <c r="A32">
        <v>2010</v>
      </c>
      <c r="B32">
        <v>82295</v>
      </c>
      <c r="C32">
        <v>66946</v>
      </c>
    </row>
    <row r="33" spans="1:3">
      <c r="A33">
        <v>2011</v>
      </c>
      <c r="B33">
        <v>79314</v>
      </c>
      <c r="C33">
        <v>67187</v>
      </c>
    </row>
    <row r="34" spans="1:3">
      <c r="A34">
        <v>2012</v>
      </c>
      <c r="B34">
        <v>77301</v>
      </c>
      <c r="C34">
        <v>71084</v>
      </c>
    </row>
    <row r="35" spans="1:3">
      <c r="A35">
        <v>2013</v>
      </c>
      <c r="B35">
        <v>75662</v>
      </c>
      <c r="C35">
        <v>77387</v>
      </c>
    </row>
    <row r="36" spans="1:3">
      <c r="A36">
        <v>2014</v>
      </c>
      <c r="B36">
        <v>74013</v>
      </c>
      <c r="C36">
        <v>90475</v>
      </c>
    </row>
    <row r="37" spans="1:3">
      <c r="A37">
        <v>2015</v>
      </c>
      <c r="B37">
        <v>73452</v>
      </c>
      <c r="C37">
        <v>95902</v>
      </c>
    </row>
    <row r="38" spans="1:3">
      <c r="A38">
        <v>2016</v>
      </c>
      <c r="B38">
        <v>73039</v>
      </c>
      <c r="C38">
        <v>95404</v>
      </c>
    </row>
    <row r="39" spans="1:3">
      <c r="A39">
        <v>2017</v>
      </c>
      <c r="B39">
        <v>75160</v>
      </c>
      <c r="C39">
        <v>90421</v>
      </c>
    </row>
    <row r="40" spans="1:3">
      <c r="A40">
        <v>2018</v>
      </c>
      <c r="B40">
        <v>76770</v>
      </c>
      <c r="C40">
        <v>86531</v>
      </c>
    </row>
    <row r="41" spans="1:3">
      <c r="A41">
        <v>2019</v>
      </c>
      <c r="B41">
        <v>79982</v>
      </c>
      <c r="C41">
        <v>84022</v>
      </c>
    </row>
    <row r="42" spans="1:3">
      <c r="A42">
        <v>2020</v>
      </c>
      <c r="B42">
        <v>84403</v>
      </c>
      <c r="C42">
        <v>73326</v>
      </c>
    </row>
    <row r="43" spans="1:3">
      <c r="A43">
        <v>2021</v>
      </c>
      <c r="B43">
        <v>88665</v>
      </c>
      <c r="C43">
        <v>79385</v>
      </c>
    </row>
    <row r="44" spans="1:3">
      <c r="A44">
        <v>2022</v>
      </c>
      <c r="B44">
        <v>85274</v>
      </c>
      <c r="C44">
        <v>90726</v>
      </c>
    </row>
    <row r="45" spans="1:3">
      <c r="A45">
        <v>2023</v>
      </c>
      <c r="B45">
        <v>83469</v>
      </c>
      <c r="C45">
        <v>92090</v>
      </c>
    </row>
    <row r="46" spans="1:3">
      <c r="A46">
        <v>2024</v>
      </c>
      <c r="B46">
        <v>86731</v>
      </c>
      <c r="C46">
        <v>89281</v>
      </c>
    </row>
    <row r="47" spans="1:3">
      <c r="B47" s="3"/>
      <c r="C47" s="3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6"/>
  <dimension ref="A1:D47"/>
  <sheetViews>
    <sheetView workbookViewId="0">
      <selection activeCell="D2" sqref="D2"/>
    </sheetView>
  </sheetViews>
  <sheetFormatPr baseColWidth="10" defaultColWidth="8.83203125" defaultRowHeight="15"/>
  <sheetData>
    <row r="1" spans="1:4">
      <c r="A1" s="1" t="s">
        <v>0</v>
      </c>
      <c r="B1" t="s">
        <v>419</v>
      </c>
      <c r="C1" t="s">
        <v>420</v>
      </c>
      <c r="D1" s="1"/>
    </row>
    <row r="2" spans="1:4">
      <c r="A2">
        <v>1980</v>
      </c>
      <c r="B2">
        <v>39435</v>
      </c>
      <c r="C2">
        <v>2043</v>
      </c>
    </row>
    <row r="3" spans="1:4">
      <c r="A3">
        <v>1981</v>
      </c>
      <c r="B3">
        <v>40995</v>
      </c>
      <c r="C3">
        <v>2146</v>
      </c>
      <c r="D3" s="1"/>
    </row>
    <row r="4" spans="1:4">
      <c r="A4">
        <v>1982</v>
      </c>
      <c r="B4">
        <v>40405</v>
      </c>
      <c r="C4">
        <v>3020</v>
      </c>
      <c r="D4" s="1"/>
    </row>
    <row r="5" spans="1:4">
      <c r="A5">
        <v>1983</v>
      </c>
      <c r="B5">
        <v>40422</v>
      </c>
      <c r="C5">
        <v>3044</v>
      </c>
      <c r="D5" s="1"/>
    </row>
    <row r="6" spans="1:4">
      <c r="A6">
        <v>1984</v>
      </c>
      <c r="B6">
        <v>42099</v>
      </c>
      <c r="C6">
        <v>2929</v>
      </c>
      <c r="D6" s="1"/>
    </row>
    <row r="7" spans="1:4">
      <c r="A7">
        <v>1985</v>
      </c>
      <c r="B7">
        <v>42880</v>
      </c>
      <c r="C7">
        <v>3150</v>
      </c>
      <c r="D7" s="1"/>
    </row>
    <row r="8" spans="1:4">
      <c r="A8">
        <v>1986</v>
      </c>
      <c r="B8">
        <v>44188</v>
      </c>
      <c r="C8">
        <v>3350</v>
      </c>
      <c r="D8" s="1"/>
    </row>
    <row r="9" spans="1:4">
      <c r="A9">
        <v>1987</v>
      </c>
      <c r="B9">
        <v>44874</v>
      </c>
      <c r="C9">
        <v>3384</v>
      </c>
      <c r="D9" s="1"/>
    </row>
    <row r="10" spans="1:4">
      <c r="A10">
        <v>1988</v>
      </c>
      <c r="B10">
        <v>45717</v>
      </c>
      <c r="C10">
        <v>3643</v>
      </c>
      <c r="D10" s="1"/>
    </row>
    <row r="11" spans="1:4">
      <c r="A11">
        <v>1989</v>
      </c>
      <c r="B11">
        <v>47927</v>
      </c>
      <c r="C11">
        <v>3909</v>
      </c>
      <c r="D11" s="1"/>
    </row>
    <row r="12" spans="1:4">
      <c r="A12">
        <v>1990</v>
      </c>
      <c r="B12">
        <v>50801</v>
      </c>
      <c r="C12">
        <v>4271</v>
      </c>
    </row>
    <row r="13" spans="1:4">
      <c r="A13">
        <v>1991</v>
      </c>
      <c r="B13">
        <v>54041</v>
      </c>
      <c r="C13">
        <v>4579</v>
      </c>
    </row>
    <row r="14" spans="1:4">
      <c r="A14">
        <v>1992</v>
      </c>
      <c r="B14">
        <v>58522</v>
      </c>
      <c r="C14">
        <v>4483</v>
      </c>
    </row>
    <row r="15" spans="1:4">
      <c r="A15">
        <v>1993</v>
      </c>
      <c r="B15">
        <v>63928</v>
      </c>
      <c r="C15">
        <v>4653</v>
      </c>
    </row>
    <row r="16" spans="1:4">
      <c r="A16">
        <v>1994</v>
      </c>
      <c r="B16">
        <v>68826</v>
      </c>
      <c r="C16">
        <v>4431</v>
      </c>
    </row>
    <row r="17" spans="1:3">
      <c r="A17">
        <v>1995</v>
      </c>
      <c r="B17">
        <v>72793</v>
      </c>
      <c r="C17">
        <v>4381</v>
      </c>
    </row>
    <row r="18" spans="1:3">
      <c r="A18">
        <v>1996</v>
      </c>
      <c r="B18">
        <v>74020</v>
      </c>
      <c r="C18">
        <v>4878</v>
      </c>
    </row>
    <row r="19" spans="1:3">
      <c r="A19">
        <v>1997</v>
      </c>
      <c r="B19">
        <v>74659</v>
      </c>
      <c r="C19">
        <v>4919</v>
      </c>
    </row>
    <row r="20" spans="1:3">
      <c r="A20">
        <v>1998</v>
      </c>
      <c r="B20">
        <v>75681</v>
      </c>
      <c r="C20">
        <v>5090</v>
      </c>
    </row>
    <row r="21" spans="1:3">
      <c r="A21">
        <v>1999</v>
      </c>
      <c r="B21">
        <v>76548</v>
      </c>
      <c r="C21">
        <v>5526</v>
      </c>
    </row>
    <row r="22" spans="1:3">
      <c r="A22">
        <v>2000</v>
      </c>
      <c r="B22">
        <v>74243</v>
      </c>
      <c r="C22">
        <v>5532</v>
      </c>
    </row>
    <row r="23" spans="1:3">
      <c r="A23">
        <v>2001</v>
      </c>
      <c r="B23">
        <v>74129</v>
      </c>
      <c r="C23">
        <v>6249</v>
      </c>
    </row>
    <row r="24" spans="1:3">
      <c r="A24">
        <v>2002</v>
      </c>
      <c r="B24">
        <v>78297</v>
      </c>
      <c r="C24">
        <v>7273</v>
      </c>
    </row>
    <row r="25" spans="1:3">
      <c r="A25">
        <v>2003</v>
      </c>
      <c r="B25">
        <v>84924</v>
      </c>
      <c r="C25">
        <v>7552</v>
      </c>
    </row>
    <row r="26" spans="1:3">
      <c r="A26">
        <v>2004</v>
      </c>
      <c r="B26">
        <v>91196</v>
      </c>
      <c r="C26">
        <v>7394</v>
      </c>
    </row>
    <row r="27" spans="1:3">
      <c r="A27">
        <v>2005</v>
      </c>
      <c r="B27">
        <v>96217</v>
      </c>
      <c r="C27">
        <v>7734</v>
      </c>
    </row>
    <row r="28" spans="1:3">
      <c r="A28">
        <v>2006</v>
      </c>
      <c r="B28">
        <v>103022</v>
      </c>
      <c r="C28">
        <v>8334</v>
      </c>
    </row>
    <row r="29" spans="1:3">
      <c r="A29">
        <v>2007</v>
      </c>
      <c r="B29">
        <v>95203</v>
      </c>
      <c r="C29">
        <v>8097</v>
      </c>
    </row>
    <row r="30" spans="1:3">
      <c r="A30">
        <v>2008</v>
      </c>
      <c r="B30">
        <v>93669</v>
      </c>
      <c r="C30">
        <v>8545</v>
      </c>
    </row>
    <row r="31" spans="1:3">
      <c r="A31">
        <v>2009</v>
      </c>
      <c r="B31">
        <v>77306</v>
      </c>
      <c r="C31">
        <v>8654</v>
      </c>
    </row>
    <row r="32" spans="1:3">
      <c r="A32">
        <v>2010</v>
      </c>
      <c r="B32">
        <v>68089</v>
      </c>
      <c r="C32">
        <v>8031</v>
      </c>
    </row>
    <row r="33" spans="1:3">
      <c r="A33">
        <v>2011</v>
      </c>
      <c r="B33">
        <v>58363</v>
      </c>
      <c r="C33">
        <v>7516</v>
      </c>
    </row>
    <row r="34" spans="1:3">
      <c r="A34">
        <v>2012</v>
      </c>
      <c r="B34">
        <v>58354</v>
      </c>
      <c r="C34">
        <v>7471</v>
      </c>
    </row>
    <row r="35" spans="1:3">
      <c r="A35">
        <v>2013</v>
      </c>
      <c r="B35">
        <v>55071</v>
      </c>
      <c r="C35">
        <v>7639</v>
      </c>
    </row>
    <row r="36" spans="1:3">
      <c r="A36">
        <v>2014</v>
      </c>
      <c r="B36">
        <v>56797</v>
      </c>
      <c r="C36">
        <v>7906</v>
      </c>
    </row>
    <row r="37" spans="1:3">
      <c r="A37">
        <v>2015</v>
      </c>
      <c r="B37">
        <v>59322</v>
      </c>
      <c r="C37">
        <v>8067</v>
      </c>
    </row>
    <row r="38" spans="1:3">
      <c r="A38">
        <v>2016</v>
      </c>
      <c r="B38">
        <v>56390</v>
      </c>
      <c r="C38">
        <v>7946</v>
      </c>
    </row>
    <row r="39" spans="1:3">
      <c r="A39">
        <v>2017</v>
      </c>
      <c r="B39">
        <v>60264</v>
      </c>
      <c r="C39">
        <v>7699</v>
      </c>
    </row>
    <row r="40" spans="1:3">
      <c r="A40">
        <v>2018</v>
      </c>
      <c r="B40">
        <v>64534</v>
      </c>
      <c r="C40">
        <v>8217</v>
      </c>
    </row>
    <row r="41" spans="1:3">
      <c r="A41">
        <v>2019</v>
      </c>
      <c r="B41">
        <v>64154</v>
      </c>
      <c r="C41">
        <v>8268</v>
      </c>
    </row>
    <row r="42" spans="1:3">
      <c r="A42">
        <v>2020</v>
      </c>
      <c r="B42">
        <v>67689</v>
      </c>
      <c r="C42">
        <v>7749</v>
      </c>
    </row>
    <row r="43" spans="1:3">
      <c r="A43">
        <v>2021</v>
      </c>
      <c r="B43">
        <v>73483</v>
      </c>
      <c r="C43">
        <v>8839</v>
      </c>
    </row>
    <row r="44" spans="1:3">
      <c r="A44">
        <v>2022</v>
      </c>
      <c r="B44">
        <v>74061</v>
      </c>
      <c r="C44">
        <v>10307</v>
      </c>
    </row>
    <row r="45" spans="1:3">
      <c r="A45">
        <v>2023</v>
      </c>
      <c r="B45">
        <v>70313</v>
      </c>
      <c r="C45">
        <v>10734</v>
      </c>
    </row>
    <row r="46" spans="1:3">
      <c r="A46">
        <v>2024</v>
      </c>
      <c r="B46">
        <v>66553</v>
      </c>
      <c r="C46">
        <v>11146</v>
      </c>
    </row>
    <row r="47" spans="1:3">
      <c r="B47" s="3"/>
      <c r="C47" s="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J13"/>
  <sheetViews>
    <sheetView workbookViewId="0">
      <selection activeCell="K36" sqref="K36"/>
    </sheetView>
  </sheetViews>
  <sheetFormatPr baseColWidth="10" defaultColWidth="8.83203125" defaultRowHeight="15"/>
  <sheetData>
    <row r="1" spans="1:10">
      <c r="A1" t="s">
        <v>0</v>
      </c>
      <c r="B1" t="s">
        <v>381</v>
      </c>
      <c r="C1" t="s">
        <v>390</v>
      </c>
      <c r="D1" t="s">
        <v>355</v>
      </c>
      <c r="E1" t="s">
        <v>391</v>
      </c>
      <c r="F1" t="s">
        <v>18</v>
      </c>
      <c r="G1" t="s">
        <v>389</v>
      </c>
      <c r="H1" t="s">
        <v>357</v>
      </c>
      <c r="I1" t="s">
        <v>508</v>
      </c>
      <c r="J1" t="s">
        <v>393</v>
      </c>
    </row>
    <row r="2" spans="1:10">
      <c r="A2">
        <v>2014</v>
      </c>
      <c r="B2">
        <v>5993</v>
      </c>
      <c r="C2">
        <v>807</v>
      </c>
      <c r="D2">
        <v>4066</v>
      </c>
      <c r="E2">
        <v>1627</v>
      </c>
      <c r="F2">
        <v>931</v>
      </c>
      <c r="G2">
        <v>3348</v>
      </c>
      <c r="H2">
        <v>3042</v>
      </c>
      <c r="I2">
        <v>3047</v>
      </c>
      <c r="J2">
        <v>10060</v>
      </c>
    </row>
    <row r="3" spans="1:10">
      <c r="A3">
        <v>2015</v>
      </c>
      <c r="B3">
        <v>6029</v>
      </c>
      <c r="C3">
        <v>774</v>
      </c>
      <c r="D3">
        <v>4219</v>
      </c>
      <c r="E3">
        <v>1647</v>
      </c>
      <c r="F3">
        <v>889</v>
      </c>
      <c r="G3">
        <v>3571</v>
      </c>
      <c r="H3">
        <v>3103</v>
      </c>
      <c r="I3">
        <v>3635</v>
      </c>
      <c r="J3">
        <v>10500</v>
      </c>
    </row>
    <row r="4" spans="1:10">
      <c r="A4">
        <v>2016</v>
      </c>
      <c r="B4">
        <v>6215</v>
      </c>
      <c r="C4">
        <v>783</v>
      </c>
      <c r="D4">
        <v>4181</v>
      </c>
      <c r="E4">
        <v>1665</v>
      </c>
      <c r="F4">
        <v>946</v>
      </c>
      <c r="G4">
        <v>3669</v>
      </c>
      <c r="H4">
        <v>3341</v>
      </c>
      <c r="I4">
        <v>3509</v>
      </c>
      <c r="J4">
        <v>10566</v>
      </c>
    </row>
    <row r="5" spans="1:10">
      <c r="A5">
        <v>2017</v>
      </c>
      <c r="B5">
        <v>6148</v>
      </c>
      <c r="C5">
        <v>801</v>
      </c>
      <c r="D5">
        <v>4307</v>
      </c>
      <c r="E5">
        <v>1830</v>
      </c>
      <c r="F5">
        <v>947</v>
      </c>
      <c r="G5">
        <v>3775</v>
      </c>
      <c r="H5">
        <v>3382</v>
      </c>
      <c r="I5">
        <v>3534</v>
      </c>
      <c r="J5">
        <v>10238</v>
      </c>
    </row>
    <row r="6" spans="1:10">
      <c r="A6">
        <v>2018</v>
      </c>
      <c r="B6">
        <v>6396</v>
      </c>
      <c r="C6">
        <v>742</v>
      </c>
      <c r="D6">
        <v>4213</v>
      </c>
      <c r="E6">
        <v>1809</v>
      </c>
      <c r="F6">
        <v>994</v>
      </c>
      <c r="G6">
        <v>3831</v>
      </c>
      <c r="H6">
        <v>3309</v>
      </c>
      <c r="I6">
        <v>3382</v>
      </c>
      <c r="J6">
        <v>9913</v>
      </c>
    </row>
    <row r="7" spans="1:10">
      <c r="A7">
        <v>2019</v>
      </c>
      <c r="B7">
        <v>6368</v>
      </c>
      <c r="C7">
        <v>799</v>
      </c>
      <c r="D7">
        <v>4251</v>
      </c>
      <c r="E7">
        <v>1818</v>
      </c>
      <c r="F7">
        <v>986</v>
      </c>
      <c r="G7">
        <v>3941</v>
      </c>
      <c r="H7">
        <v>3326</v>
      </c>
      <c r="I7">
        <v>3376</v>
      </c>
      <c r="J7">
        <v>9545</v>
      </c>
    </row>
    <row r="8" spans="1:10">
      <c r="A8">
        <v>2020</v>
      </c>
      <c r="B8">
        <v>5999</v>
      </c>
      <c r="C8">
        <v>807</v>
      </c>
      <c r="D8">
        <v>4153</v>
      </c>
      <c r="E8">
        <v>1871</v>
      </c>
      <c r="F8">
        <v>927</v>
      </c>
      <c r="G8">
        <v>3759</v>
      </c>
      <c r="H8">
        <v>3309</v>
      </c>
      <c r="I8">
        <v>3285</v>
      </c>
      <c r="J8">
        <v>9539</v>
      </c>
    </row>
    <row r="9" spans="1:10">
      <c r="A9">
        <v>2021</v>
      </c>
      <c r="B9">
        <v>5826</v>
      </c>
      <c r="C9">
        <v>783</v>
      </c>
      <c r="D9">
        <v>4093</v>
      </c>
      <c r="E9">
        <v>1637</v>
      </c>
      <c r="F9">
        <v>898</v>
      </c>
      <c r="G9">
        <v>3473</v>
      </c>
      <c r="H9">
        <v>3154</v>
      </c>
      <c r="I9">
        <v>3062</v>
      </c>
      <c r="J9">
        <v>8252</v>
      </c>
    </row>
    <row r="10" spans="1:10">
      <c r="A10">
        <v>2022</v>
      </c>
      <c r="B10">
        <v>6627</v>
      </c>
      <c r="C10">
        <v>910</v>
      </c>
      <c r="D10">
        <v>4726</v>
      </c>
      <c r="E10">
        <v>1734</v>
      </c>
      <c r="F10">
        <v>1000</v>
      </c>
      <c r="G10">
        <v>3983</v>
      </c>
      <c r="H10">
        <v>3338</v>
      </c>
      <c r="I10">
        <v>3299</v>
      </c>
      <c r="J10">
        <v>8849</v>
      </c>
    </row>
    <row r="11" spans="1:10">
      <c r="A11">
        <v>2023</v>
      </c>
      <c r="B11">
        <v>6906</v>
      </c>
      <c r="C11">
        <v>965</v>
      </c>
      <c r="D11">
        <v>4804</v>
      </c>
      <c r="E11">
        <v>1729</v>
      </c>
      <c r="F11">
        <v>977</v>
      </c>
      <c r="G11">
        <v>4021</v>
      </c>
      <c r="H11">
        <v>3238</v>
      </c>
      <c r="I11">
        <v>3187</v>
      </c>
      <c r="J11">
        <v>8931</v>
      </c>
    </row>
    <row r="12" spans="1:10">
      <c r="A12">
        <v>2024</v>
      </c>
      <c r="B12">
        <v>6996</v>
      </c>
      <c r="C12">
        <v>1103</v>
      </c>
      <c r="D12">
        <v>4910</v>
      </c>
      <c r="E12">
        <v>1811</v>
      </c>
      <c r="F12">
        <v>975</v>
      </c>
      <c r="G12">
        <v>3121</v>
      </c>
      <c r="H12">
        <v>3450</v>
      </c>
      <c r="I12">
        <v>3204</v>
      </c>
      <c r="J12">
        <v>8858</v>
      </c>
    </row>
    <row r="13" spans="1:10">
      <c r="B13" s="25"/>
      <c r="C13" s="25"/>
      <c r="D13" s="25"/>
      <c r="E13" s="25"/>
      <c r="F13" s="25"/>
      <c r="G13" s="25"/>
      <c r="H13" s="25"/>
      <c r="I13" s="25"/>
      <c r="J13" s="25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J13"/>
  <sheetViews>
    <sheetView workbookViewId="0">
      <selection activeCell="L11" sqref="L11"/>
    </sheetView>
  </sheetViews>
  <sheetFormatPr baseColWidth="10" defaultColWidth="8.83203125" defaultRowHeight="15"/>
  <sheetData>
    <row r="1" spans="1:10">
      <c r="A1" t="s">
        <v>0</v>
      </c>
      <c r="B1" t="s">
        <v>381</v>
      </c>
      <c r="C1" t="s">
        <v>390</v>
      </c>
      <c r="D1" t="s">
        <v>355</v>
      </c>
      <c r="E1" t="s">
        <v>391</v>
      </c>
      <c r="F1" t="s">
        <v>18</v>
      </c>
      <c r="G1" t="s">
        <v>389</v>
      </c>
      <c r="H1" t="s">
        <v>357</v>
      </c>
      <c r="I1" t="s">
        <v>392</v>
      </c>
      <c r="J1" t="s">
        <v>393</v>
      </c>
    </row>
    <row r="2" spans="1:10">
      <c r="A2">
        <v>2014</v>
      </c>
      <c r="B2">
        <v>2211</v>
      </c>
      <c r="C2">
        <v>990</v>
      </c>
      <c r="D2">
        <v>4759</v>
      </c>
      <c r="E2">
        <v>427</v>
      </c>
      <c r="F2">
        <v>843</v>
      </c>
      <c r="G2">
        <v>2281</v>
      </c>
      <c r="H2">
        <v>249</v>
      </c>
      <c r="I2">
        <v>1318</v>
      </c>
      <c r="J2">
        <v>2230</v>
      </c>
    </row>
    <row r="3" spans="1:10">
      <c r="A3">
        <v>2015</v>
      </c>
      <c r="B3">
        <v>2229</v>
      </c>
      <c r="C3">
        <v>1029</v>
      </c>
      <c r="D3">
        <v>4961</v>
      </c>
      <c r="E3">
        <v>418</v>
      </c>
      <c r="F3">
        <v>821</v>
      </c>
      <c r="G3">
        <v>2392</v>
      </c>
      <c r="H3">
        <v>260</v>
      </c>
      <c r="I3">
        <v>1379</v>
      </c>
      <c r="J3">
        <v>2096</v>
      </c>
    </row>
    <row r="4" spans="1:10">
      <c r="A4">
        <v>2016</v>
      </c>
      <c r="B4">
        <v>2266</v>
      </c>
      <c r="C4">
        <v>1094</v>
      </c>
      <c r="D4">
        <v>5108</v>
      </c>
      <c r="E4">
        <v>416</v>
      </c>
      <c r="F4">
        <v>823</v>
      </c>
      <c r="G4">
        <v>2374</v>
      </c>
      <c r="H4">
        <v>305</v>
      </c>
      <c r="I4">
        <v>1460</v>
      </c>
      <c r="J4">
        <v>2102</v>
      </c>
    </row>
    <row r="5" spans="1:10">
      <c r="A5">
        <v>2017</v>
      </c>
      <c r="B5">
        <v>2304</v>
      </c>
      <c r="C5">
        <v>1201</v>
      </c>
      <c r="D5">
        <v>4842</v>
      </c>
      <c r="E5">
        <v>474</v>
      </c>
      <c r="F5">
        <v>852</v>
      </c>
      <c r="G5">
        <v>2497</v>
      </c>
      <c r="H5">
        <v>286</v>
      </c>
      <c r="I5">
        <v>1394</v>
      </c>
      <c r="J5">
        <v>2152</v>
      </c>
    </row>
    <row r="6" spans="1:10">
      <c r="A6">
        <v>2018</v>
      </c>
      <c r="B6">
        <v>2180</v>
      </c>
      <c r="C6">
        <v>1105</v>
      </c>
      <c r="D6">
        <v>5039</v>
      </c>
      <c r="E6">
        <v>520</v>
      </c>
      <c r="F6">
        <v>821</v>
      </c>
      <c r="G6">
        <v>2457</v>
      </c>
      <c r="H6">
        <v>284</v>
      </c>
      <c r="I6">
        <v>1484</v>
      </c>
      <c r="J6">
        <v>2154</v>
      </c>
    </row>
    <row r="7" spans="1:10">
      <c r="A7">
        <v>2019</v>
      </c>
      <c r="B7">
        <v>2157</v>
      </c>
      <c r="C7">
        <v>1163</v>
      </c>
      <c r="D7">
        <v>5575</v>
      </c>
      <c r="E7">
        <v>573</v>
      </c>
      <c r="F7">
        <v>965</v>
      </c>
      <c r="G7">
        <v>2611</v>
      </c>
      <c r="H7">
        <v>339</v>
      </c>
      <c r="I7">
        <v>1576</v>
      </c>
      <c r="J7">
        <v>2378</v>
      </c>
    </row>
    <row r="8" spans="1:10">
      <c r="A8">
        <v>2020</v>
      </c>
      <c r="B8">
        <v>2129</v>
      </c>
      <c r="C8">
        <v>1328</v>
      </c>
      <c r="D8">
        <v>5680</v>
      </c>
      <c r="E8">
        <v>598</v>
      </c>
      <c r="F8">
        <v>975</v>
      </c>
      <c r="G8">
        <v>2723</v>
      </c>
      <c r="H8">
        <v>257</v>
      </c>
      <c r="I8">
        <v>1577</v>
      </c>
      <c r="J8">
        <v>2547</v>
      </c>
    </row>
    <row r="9" spans="1:10">
      <c r="A9">
        <v>2021</v>
      </c>
      <c r="B9">
        <v>2173</v>
      </c>
      <c r="C9">
        <v>1455</v>
      </c>
      <c r="D9">
        <v>5950</v>
      </c>
      <c r="E9">
        <v>596</v>
      </c>
      <c r="F9">
        <v>1020</v>
      </c>
      <c r="G9">
        <v>2578</v>
      </c>
      <c r="H9">
        <v>338</v>
      </c>
      <c r="I9">
        <v>1566</v>
      </c>
      <c r="J9">
        <v>2476</v>
      </c>
    </row>
    <row r="10" spans="1:10">
      <c r="A10">
        <v>2022</v>
      </c>
      <c r="B10">
        <v>2029</v>
      </c>
      <c r="C10">
        <v>1431</v>
      </c>
      <c r="D10">
        <v>5672</v>
      </c>
      <c r="E10">
        <v>482</v>
      </c>
      <c r="F10">
        <v>1041</v>
      </c>
      <c r="G10">
        <v>2429</v>
      </c>
      <c r="H10">
        <v>344</v>
      </c>
      <c r="I10">
        <v>1723</v>
      </c>
      <c r="J10">
        <v>2435</v>
      </c>
    </row>
    <row r="11" spans="1:10">
      <c r="A11">
        <v>2023</v>
      </c>
      <c r="B11">
        <v>2287</v>
      </c>
      <c r="C11">
        <v>1587</v>
      </c>
      <c r="D11">
        <v>6250</v>
      </c>
      <c r="E11">
        <v>594</v>
      </c>
      <c r="F11">
        <v>1155</v>
      </c>
      <c r="G11">
        <v>2750</v>
      </c>
      <c r="H11">
        <v>366</v>
      </c>
      <c r="I11">
        <v>1769</v>
      </c>
      <c r="J11">
        <v>2537</v>
      </c>
    </row>
    <row r="12" spans="1:10">
      <c r="A12">
        <v>2024</v>
      </c>
      <c r="B12">
        <v>2299</v>
      </c>
      <c r="C12">
        <v>1573</v>
      </c>
      <c r="D12">
        <v>6034</v>
      </c>
      <c r="E12">
        <v>564</v>
      </c>
      <c r="F12">
        <v>1112</v>
      </c>
      <c r="G12">
        <v>2656</v>
      </c>
      <c r="H12">
        <v>363</v>
      </c>
      <c r="I12">
        <v>1871</v>
      </c>
      <c r="J12">
        <v>2625</v>
      </c>
    </row>
    <row r="13" spans="1:10">
      <c r="B13" s="25"/>
      <c r="C13" s="25"/>
      <c r="D13" s="25"/>
      <c r="E13" s="25"/>
      <c r="F13" s="25"/>
      <c r="G13" s="25"/>
      <c r="H13" s="25"/>
      <c r="I13" s="25"/>
      <c r="J13" s="25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1"/>
  <dimension ref="A1:D46"/>
  <sheetViews>
    <sheetView workbookViewId="0">
      <selection activeCell="G51" sqref="G51"/>
    </sheetView>
  </sheetViews>
  <sheetFormatPr baseColWidth="10" defaultColWidth="8.83203125" defaultRowHeight="15"/>
  <sheetData>
    <row r="1" spans="1:4">
      <c r="A1" t="s">
        <v>0</v>
      </c>
      <c r="B1" t="s">
        <v>439</v>
      </c>
      <c r="C1" t="s">
        <v>440</v>
      </c>
      <c r="D1" t="s">
        <v>441</v>
      </c>
    </row>
    <row r="2" spans="1:4">
      <c r="A2">
        <v>1980</v>
      </c>
      <c r="B2">
        <v>36.299999999999997</v>
      </c>
      <c r="C2">
        <v>69.099999999999994</v>
      </c>
      <c r="D2">
        <v>25</v>
      </c>
    </row>
    <row r="3" spans="1:4">
      <c r="A3">
        <v>1981</v>
      </c>
      <c r="B3">
        <v>38.1</v>
      </c>
      <c r="C3">
        <v>68.099999999999994</v>
      </c>
      <c r="D3">
        <v>27.9</v>
      </c>
    </row>
    <row r="4" spans="1:4">
      <c r="A4">
        <v>1982</v>
      </c>
      <c r="B4">
        <v>38.700000000000003</v>
      </c>
      <c r="C4">
        <v>67</v>
      </c>
      <c r="D4">
        <v>27.2</v>
      </c>
    </row>
    <row r="5" spans="1:4">
      <c r="A5">
        <v>1983</v>
      </c>
      <c r="B5">
        <v>37.799999999999997</v>
      </c>
      <c r="C5">
        <v>62.6</v>
      </c>
      <c r="D5">
        <v>26.3</v>
      </c>
    </row>
    <row r="6" spans="1:4">
      <c r="A6">
        <v>1984</v>
      </c>
      <c r="B6">
        <v>38.299999999999997</v>
      </c>
      <c r="C6">
        <v>63.5</v>
      </c>
      <c r="D6">
        <v>27.9</v>
      </c>
    </row>
    <row r="7" spans="1:4">
      <c r="A7">
        <v>1985</v>
      </c>
      <c r="B7">
        <v>40.299999999999997</v>
      </c>
      <c r="C7">
        <v>67.3</v>
      </c>
      <c r="D7">
        <v>30.6</v>
      </c>
    </row>
    <row r="8" spans="1:4">
      <c r="A8">
        <v>1986</v>
      </c>
      <c r="B8">
        <v>41.5</v>
      </c>
      <c r="C8">
        <v>67.3</v>
      </c>
      <c r="D8">
        <v>32.4</v>
      </c>
    </row>
    <row r="9" spans="1:4">
      <c r="A9">
        <v>1987</v>
      </c>
      <c r="B9">
        <v>43.4</v>
      </c>
      <c r="C9">
        <v>65.599999999999994</v>
      </c>
      <c r="D9">
        <v>37.299999999999997</v>
      </c>
    </row>
    <row r="10" spans="1:4">
      <c r="A10">
        <v>1988</v>
      </c>
      <c r="B10">
        <v>45.3</v>
      </c>
      <c r="C10">
        <v>65.2</v>
      </c>
      <c r="D10">
        <v>38</v>
      </c>
    </row>
    <row r="11" spans="1:4">
      <c r="A11">
        <v>1989</v>
      </c>
      <c r="B11">
        <v>47.2</v>
      </c>
      <c r="C11">
        <v>65.900000000000006</v>
      </c>
      <c r="D11">
        <v>40.5</v>
      </c>
    </row>
    <row r="12" spans="1:4">
      <c r="A12">
        <v>1990</v>
      </c>
      <c r="B12">
        <v>49.3</v>
      </c>
      <c r="C12">
        <v>68.599999999999994</v>
      </c>
      <c r="D12">
        <v>42.7</v>
      </c>
    </row>
    <row r="13" spans="1:4">
      <c r="A13">
        <v>1991</v>
      </c>
      <c r="B13">
        <v>50.7</v>
      </c>
      <c r="C13">
        <v>71</v>
      </c>
      <c r="D13">
        <v>46</v>
      </c>
    </row>
    <row r="14" spans="1:4">
      <c r="A14">
        <v>1992</v>
      </c>
      <c r="B14">
        <v>51.6</v>
      </c>
      <c r="C14">
        <v>67.599999999999994</v>
      </c>
      <c r="D14">
        <v>47.9</v>
      </c>
    </row>
    <row r="15" spans="1:4">
      <c r="A15">
        <v>1993</v>
      </c>
      <c r="B15">
        <v>51.4</v>
      </c>
      <c r="C15">
        <v>65.5</v>
      </c>
      <c r="D15">
        <v>47.3</v>
      </c>
    </row>
    <row r="16" spans="1:4">
      <c r="A16">
        <v>1994</v>
      </c>
      <c r="B16">
        <v>50.6</v>
      </c>
      <c r="C16">
        <v>60.9</v>
      </c>
      <c r="D16">
        <v>47.9</v>
      </c>
    </row>
    <row r="17" spans="1:4">
      <c r="A17">
        <v>1995</v>
      </c>
      <c r="B17">
        <v>49.7</v>
      </c>
      <c r="C17">
        <v>62.3</v>
      </c>
      <c r="D17">
        <v>45.5</v>
      </c>
    </row>
    <row r="18" spans="1:4">
      <c r="A18">
        <v>1996</v>
      </c>
      <c r="B18">
        <v>50.3</v>
      </c>
      <c r="C18">
        <v>60.8</v>
      </c>
      <c r="D18">
        <v>48</v>
      </c>
    </row>
    <row r="19" spans="1:4">
      <c r="A19">
        <v>1997</v>
      </c>
      <c r="B19">
        <v>51.6</v>
      </c>
      <c r="C19">
        <v>63.3</v>
      </c>
      <c r="D19">
        <v>45.8</v>
      </c>
    </row>
    <row r="20" spans="1:4">
      <c r="A20">
        <v>1998</v>
      </c>
      <c r="B20">
        <v>52</v>
      </c>
      <c r="C20">
        <v>66.7</v>
      </c>
      <c r="D20">
        <v>44.8</v>
      </c>
    </row>
    <row r="21" spans="1:4">
      <c r="A21">
        <v>1999</v>
      </c>
      <c r="B21">
        <v>54.6</v>
      </c>
      <c r="C21">
        <v>68.099999999999994</v>
      </c>
      <c r="D21">
        <v>47.9</v>
      </c>
    </row>
    <row r="22" spans="1:4">
      <c r="A22">
        <v>2000</v>
      </c>
      <c r="B22">
        <v>57.1</v>
      </c>
      <c r="C22">
        <v>67.7</v>
      </c>
      <c r="D22">
        <v>47.1</v>
      </c>
    </row>
    <row r="23" spans="1:4">
      <c r="A23">
        <v>2001</v>
      </c>
      <c r="B23">
        <v>58.9</v>
      </c>
      <c r="C23">
        <v>69.400000000000006</v>
      </c>
      <c r="D23">
        <v>51.9</v>
      </c>
    </row>
    <row r="24" spans="1:4">
      <c r="A24">
        <v>2002</v>
      </c>
      <c r="B24">
        <v>56.3</v>
      </c>
      <c r="C24">
        <v>68.7</v>
      </c>
      <c r="D24">
        <v>53.1</v>
      </c>
    </row>
    <row r="25" spans="1:4">
      <c r="A25">
        <v>2003</v>
      </c>
      <c r="B25">
        <v>58.4</v>
      </c>
      <c r="C25">
        <v>70.3</v>
      </c>
      <c r="D25">
        <v>53.1</v>
      </c>
    </row>
    <row r="26" spans="1:4">
      <c r="A26">
        <v>2004</v>
      </c>
      <c r="B26">
        <v>57.9</v>
      </c>
      <c r="C26">
        <v>67.2</v>
      </c>
      <c r="D26">
        <v>53</v>
      </c>
    </row>
    <row r="27" spans="1:4">
      <c r="A27">
        <v>2005</v>
      </c>
      <c r="B27">
        <v>58.2</v>
      </c>
      <c r="C27">
        <v>66.099999999999994</v>
      </c>
      <c r="D27">
        <v>47.3</v>
      </c>
    </row>
    <row r="28" spans="1:4">
      <c r="A28">
        <v>2006</v>
      </c>
      <c r="B28">
        <v>58.4</v>
      </c>
      <c r="C28">
        <v>66.900000000000006</v>
      </c>
      <c r="D28">
        <v>51.3</v>
      </c>
    </row>
    <row r="29" spans="1:4">
      <c r="A29">
        <v>2007</v>
      </c>
      <c r="B29">
        <v>56.8</v>
      </c>
      <c r="C29">
        <v>67.7</v>
      </c>
      <c r="D29">
        <v>52.1</v>
      </c>
    </row>
    <row r="30" spans="1:4">
      <c r="A30">
        <v>2008</v>
      </c>
      <c r="B30">
        <v>56.1</v>
      </c>
      <c r="C30">
        <v>65.2</v>
      </c>
      <c r="D30">
        <v>45.9</v>
      </c>
    </row>
    <row r="31" spans="1:4">
      <c r="A31">
        <v>2009</v>
      </c>
      <c r="B31">
        <v>54.1</v>
      </c>
      <c r="C31">
        <v>63</v>
      </c>
      <c r="D31">
        <v>47.5</v>
      </c>
    </row>
    <row r="32" spans="1:4">
      <c r="A32">
        <v>2010</v>
      </c>
      <c r="B32">
        <v>52.4</v>
      </c>
      <c r="C32">
        <v>62.2</v>
      </c>
      <c r="D32">
        <v>49.1</v>
      </c>
    </row>
    <row r="33" spans="1:4">
      <c r="A33">
        <v>2011</v>
      </c>
      <c r="B33">
        <v>52.6</v>
      </c>
      <c r="C33">
        <v>61.2</v>
      </c>
      <c r="D33">
        <v>49.4</v>
      </c>
    </row>
    <row r="34" spans="1:4">
      <c r="A34">
        <v>2012</v>
      </c>
      <c r="B34">
        <v>52.4</v>
      </c>
      <c r="C34">
        <v>61.5</v>
      </c>
      <c r="D34">
        <v>49.2</v>
      </c>
    </row>
    <row r="35" spans="1:4">
      <c r="A35">
        <v>2013</v>
      </c>
      <c r="B35">
        <v>51.6</v>
      </c>
      <c r="C35">
        <v>61.9</v>
      </c>
      <c r="D35">
        <v>49.9</v>
      </c>
    </row>
    <row r="36" spans="1:4">
      <c r="A36">
        <v>2014</v>
      </c>
      <c r="B36">
        <v>52.7</v>
      </c>
      <c r="C36">
        <v>61.8</v>
      </c>
      <c r="D36">
        <v>49.2</v>
      </c>
    </row>
    <row r="37" spans="1:4">
      <c r="A37">
        <v>2015</v>
      </c>
      <c r="B37">
        <v>54.6</v>
      </c>
      <c r="C37">
        <v>67.099999999999994</v>
      </c>
      <c r="D37">
        <v>50.8</v>
      </c>
    </row>
    <row r="38" spans="1:4">
      <c r="A38">
        <v>2016</v>
      </c>
      <c r="B38">
        <v>53.6</v>
      </c>
      <c r="C38">
        <v>66.8</v>
      </c>
      <c r="D38">
        <v>49.4</v>
      </c>
    </row>
    <row r="39" spans="1:4">
      <c r="A39">
        <v>2017</v>
      </c>
      <c r="B39">
        <v>52.9</v>
      </c>
      <c r="C39">
        <v>66.2</v>
      </c>
      <c r="D39">
        <v>49.2</v>
      </c>
    </row>
    <row r="40" spans="1:4">
      <c r="A40">
        <v>2018</v>
      </c>
      <c r="B40">
        <v>53.6</v>
      </c>
      <c r="C40">
        <v>66.400000000000006</v>
      </c>
      <c r="D40">
        <v>50.7</v>
      </c>
    </row>
    <row r="41" spans="1:4">
      <c r="A41">
        <v>2019</v>
      </c>
      <c r="B41">
        <v>55</v>
      </c>
      <c r="C41">
        <v>67.5</v>
      </c>
      <c r="D41">
        <v>51.6</v>
      </c>
    </row>
    <row r="42" spans="1:4">
      <c r="A42">
        <v>2020</v>
      </c>
      <c r="B42">
        <v>52.8</v>
      </c>
      <c r="C42">
        <v>67</v>
      </c>
      <c r="D42">
        <v>52.3</v>
      </c>
    </row>
    <row r="43" spans="1:4">
      <c r="A43">
        <v>2021</v>
      </c>
      <c r="B43">
        <v>52</v>
      </c>
      <c r="C43">
        <v>65.099999999999994</v>
      </c>
      <c r="D43">
        <v>49.5</v>
      </c>
    </row>
    <row r="44" spans="1:4">
      <c r="A44">
        <v>2022</v>
      </c>
      <c r="B44">
        <v>54.9</v>
      </c>
      <c r="C44">
        <v>65.900000000000006</v>
      </c>
      <c r="D44">
        <v>55.4</v>
      </c>
    </row>
    <row r="45" spans="1:4">
      <c r="A45">
        <v>2023</v>
      </c>
      <c r="B45">
        <v>56.2</v>
      </c>
      <c r="C45">
        <v>67.8</v>
      </c>
      <c r="D45">
        <v>56.7</v>
      </c>
    </row>
    <row r="46" spans="1:4">
      <c r="A46">
        <v>2024</v>
      </c>
      <c r="B46">
        <v>57.3</v>
      </c>
      <c r="C46">
        <v>68.040000000000006</v>
      </c>
      <c r="D46">
        <v>55.7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11"/>
  <sheetViews>
    <sheetView workbookViewId="0">
      <selection activeCell="L42" sqref="L42"/>
    </sheetView>
  </sheetViews>
  <sheetFormatPr baseColWidth="10" defaultColWidth="8.83203125" defaultRowHeight="15"/>
  <sheetData>
    <row r="1" spans="1:8">
      <c r="A1" s="16" t="s">
        <v>0</v>
      </c>
      <c r="B1" s="17" t="s">
        <v>419</v>
      </c>
      <c r="C1" s="17" t="s">
        <v>420</v>
      </c>
      <c r="D1" s="16"/>
      <c r="F1" s="16"/>
      <c r="G1" s="16"/>
      <c r="H1" s="16"/>
    </row>
    <row r="2" spans="1:8">
      <c r="A2" s="16">
        <v>2012</v>
      </c>
      <c r="B2" s="18">
        <v>1156</v>
      </c>
      <c r="C2" s="18">
        <v>1637</v>
      </c>
      <c r="D2" s="1"/>
      <c r="E2" s="18"/>
      <c r="F2" s="18"/>
      <c r="G2" s="18"/>
      <c r="H2" s="18"/>
    </row>
    <row r="3" spans="1:8">
      <c r="A3" s="16">
        <v>2013</v>
      </c>
      <c r="B3" s="18">
        <v>1150</v>
      </c>
      <c r="C3" s="18">
        <v>1463</v>
      </c>
      <c r="D3" s="18"/>
      <c r="E3" s="18"/>
      <c r="F3" s="18"/>
      <c r="G3" s="18"/>
      <c r="H3" s="18"/>
    </row>
    <row r="4" spans="1:8">
      <c r="A4" s="16">
        <v>2015</v>
      </c>
      <c r="B4" s="18">
        <v>1246</v>
      </c>
      <c r="C4" s="18">
        <v>1450</v>
      </c>
      <c r="D4" s="1"/>
    </row>
    <row r="5" spans="1:8">
      <c r="A5" s="16">
        <v>2017</v>
      </c>
      <c r="B5" s="18">
        <v>1341</v>
      </c>
      <c r="C5" s="18">
        <v>1634</v>
      </c>
      <c r="D5" s="1"/>
    </row>
    <row r="6" spans="1:8">
      <c r="A6" s="16">
        <v>2019</v>
      </c>
      <c r="B6" s="18">
        <v>1429</v>
      </c>
      <c r="C6" s="18">
        <v>1906</v>
      </c>
      <c r="D6" s="1"/>
    </row>
    <row r="7" spans="1:8">
      <c r="A7" s="16">
        <v>2021</v>
      </c>
      <c r="B7" s="18">
        <v>1779</v>
      </c>
      <c r="C7" s="18">
        <v>1858</v>
      </c>
      <c r="D7" s="1"/>
    </row>
    <row r="8" spans="1:8">
      <c r="A8" s="16">
        <v>2023</v>
      </c>
      <c r="B8" s="18">
        <v>1619</v>
      </c>
      <c r="C8" s="18">
        <v>2010</v>
      </c>
      <c r="D8" s="1"/>
    </row>
    <row r="9" spans="1:8">
      <c r="B9" s="25"/>
      <c r="C9" s="25"/>
      <c r="D9" s="1"/>
    </row>
    <row r="10" spans="1:8">
      <c r="D10" s="1"/>
    </row>
    <row r="11" spans="1:8">
      <c r="D11" s="1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5"/>
  <dimension ref="A1:D35"/>
  <sheetViews>
    <sheetView workbookViewId="0">
      <selection activeCell="E40" sqref="E40"/>
    </sheetView>
  </sheetViews>
  <sheetFormatPr baseColWidth="10" defaultColWidth="8.83203125" defaultRowHeight="15"/>
  <sheetData>
    <row r="1" spans="1:4">
      <c r="A1" s="21" t="s">
        <v>0</v>
      </c>
      <c r="B1" s="13" t="s">
        <v>426</v>
      </c>
      <c r="C1" s="1"/>
    </row>
    <row r="2" spans="1:4">
      <c r="A2" s="13">
        <v>1989</v>
      </c>
      <c r="B2" s="14">
        <v>46479</v>
      </c>
      <c r="C2" s="1"/>
      <c r="D2" s="1"/>
    </row>
    <row r="3" spans="1:4">
      <c r="A3" s="13">
        <v>1991</v>
      </c>
      <c r="B3" s="14">
        <v>62148</v>
      </c>
      <c r="C3" s="1"/>
      <c r="D3" s="1"/>
    </row>
    <row r="4" spans="1:4">
      <c r="A4" s="13">
        <v>1993</v>
      </c>
      <c r="B4" s="14">
        <v>59981</v>
      </c>
      <c r="C4" s="1"/>
      <c r="D4" s="1"/>
    </row>
    <row r="5" spans="1:4">
      <c r="A5" s="13">
        <v>1994</v>
      </c>
      <c r="B5" s="14">
        <v>58074</v>
      </c>
      <c r="C5" s="1"/>
      <c r="D5" s="1"/>
    </row>
    <row r="6" spans="1:4">
      <c r="A6" s="13">
        <v>1995</v>
      </c>
      <c r="B6" s="14">
        <v>59403</v>
      </c>
      <c r="C6" s="1"/>
      <c r="D6" s="1"/>
    </row>
    <row r="7" spans="1:4">
      <c r="A7" s="13">
        <v>1996</v>
      </c>
      <c r="B7" s="14">
        <v>62354</v>
      </c>
      <c r="C7" s="1"/>
      <c r="D7" s="1"/>
    </row>
    <row r="8" spans="1:4">
      <c r="A8" s="13">
        <v>1997</v>
      </c>
      <c r="B8" s="14">
        <v>65494</v>
      </c>
      <c r="C8" s="1"/>
      <c r="D8" s="1"/>
    </row>
    <row r="9" spans="1:4">
      <c r="A9" s="13">
        <v>1998</v>
      </c>
      <c r="B9" s="14">
        <v>70501</v>
      </c>
      <c r="C9" s="1"/>
      <c r="D9" s="1"/>
    </row>
    <row r="10" spans="1:4">
      <c r="A10" s="13">
        <v>1999</v>
      </c>
      <c r="B10" s="14">
        <v>74571</v>
      </c>
      <c r="C10" s="1"/>
      <c r="D10" s="1"/>
    </row>
    <row r="11" spans="1:4">
      <c r="A11" s="13">
        <v>2000</v>
      </c>
      <c r="B11" s="14">
        <v>79651</v>
      </c>
      <c r="C11" s="1"/>
      <c r="D11" s="1"/>
    </row>
    <row r="12" spans="1:4">
      <c r="A12" s="13">
        <v>2001</v>
      </c>
      <c r="B12" s="14">
        <v>86015</v>
      </c>
    </row>
    <row r="13" spans="1:4">
      <c r="A13" s="13">
        <v>2002</v>
      </c>
      <c r="B13" s="14">
        <v>84281</v>
      </c>
    </row>
    <row r="14" spans="1:4">
      <c r="A14" s="13">
        <v>2003</v>
      </c>
      <c r="B14" s="14">
        <v>82905</v>
      </c>
    </row>
    <row r="15" spans="1:4">
      <c r="A15" s="13">
        <v>2004</v>
      </c>
      <c r="B15" s="14">
        <v>89634</v>
      </c>
    </row>
    <row r="16" spans="1:4">
      <c r="A16" s="13">
        <v>2005</v>
      </c>
      <c r="B16" s="14">
        <v>96981</v>
      </c>
    </row>
    <row r="17" spans="1:2">
      <c r="A17" s="13">
        <v>2006</v>
      </c>
      <c r="B17" s="14">
        <v>98239</v>
      </c>
    </row>
    <row r="18" spans="1:2">
      <c r="A18" s="13">
        <v>2007</v>
      </c>
      <c r="B18" s="14">
        <v>106123</v>
      </c>
    </row>
    <row r="19" spans="1:2">
      <c r="A19" s="13">
        <v>2008</v>
      </c>
      <c r="B19" s="14">
        <v>113494</v>
      </c>
    </row>
    <row r="20" spans="1:2">
      <c r="A20" s="13">
        <v>2009</v>
      </c>
      <c r="B20" s="14">
        <v>115098</v>
      </c>
    </row>
    <row r="21" spans="1:2">
      <c r="A21" s="13">
        <v>2010</v>
      </c>
      <c r="B21" s="14">
        <v>115313</v>
      </c>
    </row>
    <row r="22" spans="1:2">
      <c r="A22" s="13">
        <v>2011</v>
      </c>
      <c r="B22" s="14">
        <v>116917</v>
      </c>
    </row>
    <row r="23" spans="1:2">
      <c r="A23" s="13">
        <v>2012</v>
      </c>
      <c r="B23" s="14">
        <v>122059</v>
      </c>
    </row>
    <row r="24" spans="1:2">
      <c r="A24" s="13">
        <v>2013</v>
      </c>
      <c r="B24" s="14">
        <v>121914</v>
      </c>
    </row>
    <row r="25" spans="1:2">
      <c r="A25" s="13">
        <v>2014</v>
      </c>
      <c r="B25" s="14">
        <v>124861</v>
      </c>
    </row>
    <row r="26" spans="1:2">
      <c r="A26" s="13">
        <v>2015</v>
      </c>
      <c r="B26" s="14">
        <v>134014</v>
      </c>
    </row>
    <row r="27" spans="1:2">
      <c r="A27" s="13">
        <v>2016</v>
      </c>
      <c r="B27" s="14">
        <v>134379</v>
      </c>
    </row>
    <row r="28" spans="1:2">
      <c r="A28" s="13">
        <v>2017</v>
      </c>
      <c r="B28" s="14">
        <v>135009</v>
      </c>
    </row>
    <row r="29" spans="1:2">
      <c r="A29" s="13">
        <v>2018</v>
      </c>
      <c r="B29" s="14">
        <v>136563</v>
      </c>
    </row>
    <row r="30" spans="1:2">
      <c r="A30" s="13">
        <v>2019</v>
      </c>
      <c r="B30" s="14">
        <v>123508</v>
      </c>
    </row>
    <row r="31" spans="1:2">
      <c r="A31" s="13">
        <v>2020</v>
      </c>
      <c r="B31" s="14">
        <v>85538</v>
      </c>
    </row>
    <row r="32" spans="1:2">
      <c r="A32" s="13">
        <v>2021</v>
      </c>
      <c r="B32" s="14">
        <v>90891</v>
      </c>
    </row>
    <row r="33" spans="1:2">
      <c r="A33" s="13">
        <v>2022</v>
      </c>
      <c r="B33" s="14">
        <v>102366</v>
      </c>
    </row>
    <row r="34" spans="1:2">
      <c r="A34" s="13">
        <v>2023</v>
      </c>
      <c r="B34" s="14">
        <v>112552</v>
      </c>
    </row>
    <row r="35" spans="1:2">
      <c r="A35" s="13">
        <v>2024</v>
      </c>
      <c r="B35" s="14">
        <v>116540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6"/>
  <dimension ref="A1:Y28"/>
  <sheetViews>
    <sheetView zoomScale="90" zoomScaleNormal="90" workbookViewId="0">
      <selection activeCell="B27" sqref="B27:L29"/>
    </sheetView>
  </sheetViews>
  <sheetFormatPr baseColWidth="10" defaultColWidth="8.83203125" defaultRowHeight="15"/>
  <sheetData>
    <row r="1" spans="1:25">
      <c r="A1" s="13" t="s">
        <v>0</v>
      </c>
      <c r="B1" s="13" t="s">
        <v>5</v>
      </c>
      <c r="C1" s="13" t="s">
        <v>4</v>
      </c>
      <c r="D1" s="13" t="s">
        <v>6</v>
      </c>
      <c r="E1" s="13" t="s">
        <v>442</v>
      </c>
      <c r="F1" s="13" t="s">
        <v>10</v>
      </c>
      <c r="G1" s="13" t="s">
        <v>8</v>
      </c>
      <c r="H1" s="13" t="s">
        <v>9</v>
      </c>
      <c r="I1" s="13" t="s">
        <v>11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>
      <c r="A2" s="13">
        <v>2000</v>
      </c>
      <c r="B2" s="14">
        <v>1269</v>
      </c>
      <c r="C2" s="14">
        <v>35620</v>
      </c>
      <c r="D2" s="14">
        <v>29638</v>
      </c>
      <c r="E2" s="14">
        <v>4680</v>
      </c>
      <c r="F2" s="14">
        <v>3125</v>
      </c>
      <c r="G2" s="14">
        <v>3735</v>
      </c>
      <c r="H2" s="14">
        <v>1576</v>
      </c>
      <c r="I2" s="13">
        <v>0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>
      <c r="A3" s="13">
        <v>2001</v>
      </c>
      <c r="B3" s="14">
        <v>1881</v>
      </c>
      <c r="C3" s="14">
        <v>39122</v>
      </c>
      <c r="D3" s="14">
        <v>29956</v>
      </c>
      <c r="E3" s="14">
        <v>5999</v>
      </c>
      <c r="F3" s="14">
        <v>3298</v>
      </c>
      <c r="G3" s="14">
        <v>3905</v>
      </c>
      <c r="H3" s="14">
        <v>1747</v>
      </c>
      <c r="I3" s="13">
        <v>110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>
      <c r="A4" s="13">
        <v>2002</v>
      </c>
      <c r="B4" s="14">
        <v>1866</v>
      </c>
      <c r="C4" s="14">
        <v>39119</v>
      </c>
      <c r="D4" s="14">
        <v>28184</v>
      </c>
      <c r="E4" s="14">
        <v>6160</v>
      </c>
      <c r="F4" s="14">
        <v>3180</v>
      </c>
      <c r="G4" s="14">
        <v>4222</v>
      </c>
      <c r="H4" s="14">
        <v>1547</v>
      </c>
      <c r="I4" s="13">
        <v>6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>
      <c r="A5" s="13">
        <v>2003</v>
      </c>
      <c r="B5" s="14">
        <v>1628</v>
      </c>
      <c r="C5" s="14">
        <v>39121</v>
      </c>
      <c r="D5" s="14">
        <v>28006</v>
      </c>
      <c r="E5" s="14">
        <v>5404</v>
      </c>
      <c r="F5" s="14">
        <v>3043</v>
      </c>
      <c r="G5" s="14">
        <v>4125</v>
      </c>
      <c r="H5" s="14">
        <v>1521</v>
      </c>
      <c r="I5" s="13">
        <v>57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>
      <c r="A6" s="13">
        <v>2004</v>
      </c>
      <c r="B6" s="14">
        <v>1607</v>
      </c>
      <c r="C6" s="14">
        <v>43654</v>
      </c>
      <c r="D6" s="14">
        <v>29465</v>
      </c>
      <c r="E6" s="14">
        <v>5746</v>
      </c>
      <c r="F6" s="14">
        <v>3368</v>
      </c>
      <c r="G6" s="14">
        <v>4262</v>
      </c>
      <c r="H6" s="14">
        <v>1528</v>
      </c>
      <c r="I6" s="13">
        <v>4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>
      <c r="A7" s="13">
        <v>2005</v>
      </c>
      <c r="B7" s="14">
        <v>1612</v>
      </c>
      <c r="C7" s="14">
        <v>47813</v>
      </c>
      <c r="D7" s="14">
        <v>31243</v>
      </c>
      <c r="E7" s="14">
        <v>6377</v>
      </c>
      <c r="F7" s="14">
        <v>3797</v>
      </c>
      <c r="G7" s="14">
        <v>4496</v>
      </c>
      <c r="H7" s="14">
        <v>1643</v>
      </c>
      <c r="I7" s="13">
        <v>0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>
      <c r="A8" s="13">
        <v>2006</v>
      </c>
      <c r="B8" s="14">
        <v>1625</v>
      </c>
      <c r="C8" s="14">
        <v>49551</v>
      </c>
      <c r="D8" s="14">
        <v>30458</v>
      </c>
      <c r="E8" s="14">
        <v>6596</v>
      </c>
      <c r="F8" s="14">
        <v>4094</v>
      </c>
      <c r="G8" s="14">
        <v>4398</v>
      </c>
      <c r="H8" s="14">
        <v>1510</v>
      </c>
      <c r="I8" s="13">
        <v>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3"/>
      <c r="X8" s="14"/>
      <c r="Y8" s="14"/>
    </row>
    <row r="9" spans="1:25">
      <c r="A9" s="13">
        <v>2007</v>
      </c>
      <c r="B9" s="14">
        <v>1753</v>
      </c>
      <c r="C9" s="14">
        <v>55553</v>
      </c>
      <c r="D9" s="14">
        <v>31343</v>
      </c>
      <c r="E9" s="14">
        <v>7000</v>
      </c>
      <c r="F9" s="14">
        <v>4227</v>
      </c>
      <c r="G9" s="14">
        <v>4758</v>
      </c>
      <c r="H9" s="14">
        <v>1484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>
      <c r="A10" s="13">
        <v>2008</v>
      </c>
      <c r="B10" s="14">
        <v>2795</v>
      </c>
      <c r="C10" s="14">
        <v>59664</v>
      </c>
      <c r="D10" s="14">
        <v>32769</v>
      </c>
      <c r="E10" s="14">
        <v>7612</v>
      </c>
      <c r="F10" s="14">
        <v>4480</v>
      </c>
      <c r="G10" s="14">
        <v>4692</v>
      </c>
      <c r="H10" s="14">
        <v>1482</v>
      </c>
      <c r="I10" s="13">
        <v>0</v>
      </c>
    </row>
    <row r="11" spans="1:25">
      <c r="A11" s="13">
        <v>2009</v>
      </c>
      <c r="B11" s="14">
        <v>1954</v>
      </c>
      <c r="C11" s="14">
        <v>62667</v>
      </c>
      <c r="D11" s="14">
        <v>32826</v>
      </c>
      <c r="E11" s="14">
        <v>6969</v>
      </c>
      <c r="F11" s="14">
        <v>4626</v>
      </c>
      <c r="G11" s="14">
        <v>4694</v>
      </c>
      <c r="H11" s="14">
        <v>1362</v>
      </c>
      <c r="I11" s="13">
        <v>0</v>
      </c>
    </row>
    <row r="12" spans="1:25">
      <c r="A12" s="13">
        <v>2010</v>
      </c>
      <c r="B12" s="14">
        <v>1852</v>
      </c>
      <c r="C12" s="14">
        <v>62736</v>
      </c>
      <c r="D12" s="14">
        <v>33160</v>
      </c>
      <c r="E12" s="14">
        <v>6993</v>
      </c>
      <c r="F12" s="14">
        <v>4510</v>
      </c>
      <c r="G12" s="14">
        <v>4745</v>
      </c>
      <c r="H12" s="14">
        <v>1302</v>
      </c>
      <c r="I12" s="13">
        <v>15</v>
      </c>
    </row>
    <row r="13" spans="1:25">
      <c r="A13" s="13">
        <v>2011</v>
      </c>
      <c r="B13" s="14">
        <v>1887</v>
      </c>
      <c r="C13" s="14">
        <v>63693</v>
      </c>
      <c r="D13" s="14">
        <v>33377</v>
      </c>
      <c r="E13" s="14">
        <v>7365</v>
      </c>
      <c r="F13" s="14">
        <v>4836</v>
      </c>
      <c r="G13" s="14">
        <v>4493</v>
      </c>
      <c r="H13" s="14">
        <v>1263</v>
      </c>
      <c r="I13" s="13">
        <v>2</v>
      </c>
    </row>
    <row r="14" spans="1:25">
      <c r="A14" s="13">
        <v>2012</v>
      </c>
      <c r="B14" s="14">
        <v>2132</v>
      </c>
      <c r="C14" s="14">
        <v>66066</v>
      </c>
      <c r="D14" s="14">
        <v>34136</v>
      </c>
      <c r="E14" s="14">
        <v>8239</v>
      </c>
      <c r="F14" s="14">
        <v>5439</v>
      </c>
      <c r="G14" s="14">
        <v>4741</v>
      </c>
      <c r="H14" s="14">
        <v>1295</v>
      </c>
      <c r="I14" s="13">
        <v>11</v>
      </c>
    </row>
    <row r="15" spans="1:25">
      <c r="A15" s="13">
        <v>2013</v>
      </c>
      <c r="B15" s="14">
        <v>1844</v>
      </c>
      <c r="C15" s="14">
        <v>66259</v>
      </c>
      <c r="D15" s="14">
        <v>34015</v>
      </c>
      <c r="E15" s="14">
        <v>8599</v>
      </c>
      <c r="F15" s="14">
        <v>5309</v>
      </c>
      <c r="G15" s="14">
        <v>4551</v>
      </c>
      <c r="H15" s="14">
        <v>1322</v>
      </c>
      <c r="I15" s="13">
        <v>15</v>
      </c>
    </row>
    <row r="16" spans="1:25">
      <c r="A16" s="13">
        <v>2014</v>
      </c>
      <c r="B16" s="14">
        <v>1989</v>
      </c>
      <c r="C16" s="14">
        <v>69515</v>
      </c>
      <c r="D16" s="14">
        <v>32336</v>
      </c>
      <c r="E16" s="14">
        <v>9546</v>
      </c>
      <c r="F16" s="14">
        <v>5608</v>
      </c>
      <c r="G16" s="14">
        <v>4611</v>
      </c>
      <c r="H16" s="14">
        <v>1252</v>
      </c>
      <c r="I16" s="13">
        <v>4</v>
      </c>
    </row>
    <row r="17" spans="1:9">
      <c r="A17" s="13">
        <v>2015</v>
      </c>
      <c r="B17" s="14">
        <v>2057</v>
      </c>
      <c r="C17" s="14">
        <v>75915</v>
      </c>
      <c r="D17" s="14">
        <v>33496</v>
      </c>
      <c r="E17" s="14">
        <v>9931</v>
      </c>
      <c r="F17" s="14">
        <v>6238</v>
      </c>
      <c r="G17" s="14">
        <v>4976</v>
      </c>
      <c r="H17" s="14">
        <v>1398</v>
      </c>
      <c r="I17" s="13">
        <v>3</v>
      </c>
    </row>
    <row r="18" spans="1:9">
      <c r="A18" s="13">
        <v>2016</v>
      </c>
      <c r="B18" s="14">
        <v>2219</v>
      </c>
      <c r="C18" s="14">
        <v>76319</v>
      </c>
      <c r="D18" s="14">
        <v>33356</v>
      </c>
      <c r="E18" s="14">
        <v>9565</v>
      </c>
      <c r="F18" s="14">
        <v>6549</v>
      </c>
      <c r="G18" s="14">
        <v>5018</v>
      </c>
      <c r="H18" s="14">
        <v>1350</v>
      </c>
      <c r="I18" s="13">
        <v>3</v>
      </c>
    </row>
    <row r="19" spans="1:9">
      <c r="A19" s="13">
        <v>2017</v>
      </c>
      <c r="B19" s="14">
        <v>2479</v>
      </c>
      <c r="C19" s="14">
        <v>77694</v>
      </c>
      <c r="D19" s="14">
        <v>32493</v>
      </c>
      <c r="E19" s="14">
        <v>9919</v>
      </c>
      <c r="F19" s="14">
        <v>6356</v>
      </c>
      <c r="G19" s="14">
        <v>4688</v>
      </c>
      <c r="H19" s="14">
        <v>1375</v>
      </c>
      <c r="I19" s="13">
        <v>5</v>
      </c>
    </row>
    <row r="20" spans="1:9">
      <c r="A20" s="13">
        <v>2018</v>
      </c>
      <c r="B20" s="14">
        <v>2381</v>
      </c>
      <c r="C20" s="14">
        <v>80490</v>
      </c>
      <c r="D20" s="14">
        <v>31246</v>
      </c>
      <c r="E20" s="14">
        <v>10153</v>
      </c>
      <c r="F20" s="14">
        <v>6246</v>
      </c>
      <c r="G20" s="14">
        <v>4634</v>
      </c>
      <c r="H20" s="14">
        <v>1411</v>
      </c>
      <c r="I20" s="13">
        <v>2</v>
      </c>
    </row>
    <row r="21" spans="1:9">
      <c r="A21" s="13">
        <v>2019</v>
      </c>
      <c r="B21" s="14">
        <v>1960</v>
      </c>
      <c r="C21" s="14">
        <v>73389</v>
      </c>
      <c r="D21" s="14">
        <v>27129</v>
      </c>
      <c r="E21" s="14">
        <v>9659</v>
      </c>
      <c r="F21" s="14">
        <v>5673</v>
      </c>
      <c r="G21" s="14">
        <v>4399</v>
      </c>
      <c r="H21" s="14">
        <v>1296</v>
      </c>
      <c r="I21" s="13">
        <v>3</v>
      </c>
    </row>
    <row r="22" spans="1:9">
      <c r="A22" s="13">
        <v>2020</v>
      </c>
      <c r="B22" s="14">
        <v>1483</v>
      </c>
      <c r="C22" s="14">
        <v>50922</v>
      </c>
      <c r="D22" s="14">
        <v>17145</v>
      </c>
      <c r="E22" s="14">
        <v>6810</v>
      </c>
      <c r="F22" s="14">
        <v>4386</v>
      </c>
      <c r="G22" s="14">
        <v>3863</v>
      </c>
      <c r="H22" s="13">
        <v>925</v>
      </c>
      <c r="I22" s="13">
        <v>4</v>
      </c>
    </row>
    <row r="23" spans="1:9">
      <c r="A23" s="13">
        <v>2021</v>
      </c>
      <c r="B23" s="14">
        <v>2220</v>
      </c>
      <c r="C23" s="14">
        <v>48292</v>
      </c>
      <c r="D23" s="14">
        <v>21782</v>
      </c>
      <c r="E23" s="14">
        <v>8826</v>
      </c>
      <c r="F23" s="14">
        <v>4830</v>
      </c>
      <c r="G23" s="14">
        <v>3993</v>
      </c>
      <c r="H23" s="13">
        <v>946</v>
      </c>
      <c r="I23" s="13">
        <v>2</v>
      </c>
    </row>
    <row r="24" spans="1:9">
      <c r="A24" s="13">
        <v>2022</v>
      </c>
      <c r="B24" s="14">
        <v>3213</v>
      </c>
      <c r="C24" s="14">
        <v>52701</v>
      </c>
      <c r="D24" s="14">
        <v>24876</v>
      </c>
      <c r="E24" s="14">
        <v>10789</v>
      </c>
      <c r="F24" s="14">
        <v>5941</v>
      </c>
      <c r="G24" s="14">
        <v>3832</v>
      </c>
      <c r="H24" s="14">
        <v>1005</v>
      </c>
      <c r="I24" s="13">
        <v>9</v>
      </c>
    </row>
    <row r="25" spans="1:9">
      <c r="A25" s="13">
        <v>2023</v>
      </c>
      <c r="B25" s="14">
        <v>3513</v>
      </c>
      <c r="C25" s="14">
        <v>60125</v>
      </c>
      <c r="D25" s="14">
        <v>25747</v>
      </c>
      <c r="E25" s="14">
        <v>11856</v>
      </c>
      <c r="F25" s="14">
        <v>6219</v>
      </c>
      <c r="G25" s="14">
        <v>4011</v>
      </c>
      <c r="H25" s="14">
        <v>1072</v>
      </c>
      <c r="I25" s="13">
        <v>9</v>
      </c>
    </row>
    <row r="26" spans="1:9">
      <c r="A26" s="13">
        <v>2024</v>
      </c>
      <c r="B26" s="14">
        <v>3508</v>
      </c>
      <c r="C26" s="14">
        <v>64606</v>
      </c>
      <c r="D26" s="14">
        <v>24794</v>
      </c>
      <c r="E26" s="14">
        <v>11867</v>
      </c>
      <c r="F26" s="14">
        <v>6451</v>
      </c>
      <c r="G26" s="14">
        <v>4213</v>
      </c>
      <c r="H26" s="14">
        <v>1098</v>
      </c>
      <c r="I26" s="14">
        <v>3</v>
      </c>
    </row>
    <row r="27" spans="1:9">
      <c r="B27" s="3"/>
      <c r="C27" s="3"/>
      <c r="D27" s="3"/>
      <c r="E27" s="3"/>
      <c r="F27" s="3"/>
      <c r="G27" s="3"/>
      <c r="H27" s="3"/>
      <c r="I27" s="3"/>
    </row>
    <row r="28" spans="1:9">
      <c r="B28" s="5"/>
      <c r="C28" s="5"/>
      <c r="D28" s="5"/>
      <c r="E28" s="5"/>
      <c r="F28" s="5"/>
      <c r="G28" s="5"/>
      <c r="H28" s="5"/>
      <c r="I28" s="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7"/>
  <dimension ref="A1:V21"/>
  <sheetViews>
    <sheetView workbookViewId="0">
      <selection activeCell="A2" sqref="A2"/>
    </sheetView>
  </sheetViews>
  <sheetFormatPr baseColWidth="10" defaultColWidth="8.83203125" defaultRowHeight="15"/>
  <sheetData>
    <row r="1" spans="1:22">
      <c r="A1" s="89" t="s">
        <v>0</v>
      </c>
      <c r="B1" s="90" t="s">
        <v>514</v>
      </c>
      <c r="C1" t="s">
        <v>521</v>
      </c>
      <c r="D1" s="91" t="s">
        <v>520</v>
      </c>
      <c r="E1" s="91" t="s">
        <v>355</v>
      </c>
      <c r="F1" s="91" t="s">
        <v>427</v>
      </c>
      <c r="G1" s="91" t="s">
        <v>428</v>
      </c>
      <c r="H1" s="91" t="s">
        <v>429</v>
      </c>
      <c r="I1" s="84" t="s">
        <v>388</v>
      </c>
      <c r="J1" s="84" t="s">
        <v>515</v>
      </c>
      <c r="K1" s="84" t="s">
        <v>416</v>
      </c>
      <c r="L1" s="84" t="s">
        <v>516</v>
      </c>
      <c r="M1" s="84" t="s">
        <v>383</v>
      </c>
      <c r="N1" s="84" t="s">
        <v>517</v>
      </c>
      <c r="O1" s="84" t="s">
        <v>518</v>
      </c>
      <c r="P1" s="84" t="s">
        <v>519</v>
      </c>
      <c r="Q1" s="21"/>
      <c r="R1" s="21"/>
      <c r="S1" s="21"/>
      <c r="T1" s="21"/>
      <c r="U1" s="21"/>
      <c r="V1" s="21"/>
    </row>
    <row r="2" spans="1:22">
      <c r="A2" s="95">
        <v>2013</v>
      </c>
      <c r="B2" s="92">
        <v>90825.93</v>
      </c>
      <c r="C2" s="92">
        <f>SUM(J2:P2)</f>
        <v>21213.036</v>
      </c>
      <c r="D2" s="92">
        <v>5242.3019999999997</v>
      </c>
      <c r="E2" s="92">
        <v>18896.669999999998</v>
      </c>
      <c r="F2" s="92">
        <v>16336.476000000001</v>
      </c>
      <c r="G2" s="92">
        <v>6949.0980000000009</v>
      </c>
      <c r="H2" s="92">
        <v>43401.384000000005</v>
      </c>
      <c r="I2" s="92">
        <v>9753.1200000000008</v>
      </c>
      <c r="J2" s="92">
        <v>4145.076</v>
      </c>
      <c r="K2" s="92">
        <v>4632.732</v>
      </c>
      <c r="L2" s="92">
        <v>1950.6240000000003</v>
      </c>
      <c r="M2" s="92">
        <v>2316.366</v>
      </c>
      <c r="N2" s="93"/>
      <c r="O2" s="93"/>
      <c r="P2" s="92">
        <v>8168.2380000000003</v>
      </c>
      <c r="Q2" s="21"/>
      <c r="R2" s="21"/>
      <c r="S2" s="21"/>
      <c r="T2" s="21"/>
      <c r="U2" s="21"/>
      <c r="V2" s="21"/>
    </row>
    <row r="3" spans="1:22">
      <c r="A3" s="95">
        <v>2014</v>
      </c>
      <c r="B3" s="93">
        <v>92646.862000000008</v>
      </c>
      <c r="C3" s="92">
        <f t="shared" ref="C3:C13" si="0">SUM(J3:P3)</f>
        <v>21850.675000000003</v>
      </c>
      <c r="D3" s="93">
        <v>5618.7449999999999</v>
      </c>
      <c r="E3" s="93">
        <v>20227.482</v>
      </c>
      <c r="F3" s="93">
        <v>16356.790999999999</v>
      </c>
      <c r="G3" s="93">
        <v>7117.0770000000011</v>
      </c>
      <c r="H3" s="93">
        <v>43326.767</v>
      </c>
      <c r="I3" s="93">
        <v>9988.8799999999992</v>
      </c>
      <c r="J3" s="93">
        <v>4120.4129999999996</v>
      </c>
      <c r="K3" s="93">
        <v>4744.7179999999998</v>
      </c>
      <c r="L3" s="93">
        <v>2122.6369999999997</v>
      </c>
      <c r="M3" s="93">
        <v>2372.3589999999999</v>
      </c>
      <c r="N3" s="93">
        <v>1997.7760000000001</v>
      </c>
      <c r="O3" s="93">
        <v>1123.749</v>
      </c>
      <c r="P3" s="93">
        <v>5369.0229999999992</v>
      </c>
      <c r="Q3" s="21"/>
      <c r="R3" s="21"/>
      <c r="S3" s="21"/>
      <c r="T3" s="21"/>
      <c r="U3" s="21"/>
      <c r="V3" s="21"/>
    </row>
    <row r="4" spans="1:22">
      <c r="A4" s="96">
        <v>2015</v>
      </c>
      <c r="B4" s="93">
        <v>101850.64</v>
      </c>
      <c r="C4" s="92">
        <f t="shared" si="0"/>
        <v>21978.296000000002</v>
      </c>
      <c r="D4" s="93">
        <v>5628.5880000000006</v>
      </c>
      <c r="E4" s="93">
        <v>22246.324000000004</v>
      </c>
      <c r="F4" s="93">
        <v>19029.987999999998</v>
      </c>
      <c r="G4" s="93">
        <v>8308.8680000000004</v>
      </c>
      <c r="H4" s="93">
        <v>46502.858000000007</v>
      </c>
      <c r="I4" s="93">
        <v>10319.078000000001</v>
      </c>
      <c r="J4" s="93">
        <v>4690.49</v>
      </c>
      <c r="K4" s="93">
        <v>4958.518</v>
      </c>
      <c r="L4" s="93">
        <v>2680.28</v>
      </c>
      <c r="M4" s="93">
        <v>2680.28</v>
      </c>
      <c r="N4" s="93">
        <v>2144.2240000000002</v>
      </c>
      <c r="O4" s="93">
        <v>1206.126</v>
      </c>
      <c r="P4" s="93">
        <v>3618.3780000000006</v>
      </c>
      <c r="Q4" s="21"/>
      <c r="R4" s="21"/>
      <c r="S4" s="21"/>
      <c r="T4" s="21"/>
      <c r="U4" s="21"/>
      <c r="V4" s="21"/>
    </row>
    <row r="5" spans="1:22">
      <c r="A5" s="96">
        <v>2016</v>
      </c>
      <c r="B5" s="93">
        <v>102128.04</v>
      </c>
      <c r="C5" s="92">
        <f t="shared" si="0"/>
        <v>22710.050999999999</v>
      </c>
      <c r="D5" s="93">
        <v>6181.4339999999993</v>
      </c>
      <c r="E5" s="93">
        <v>22978.809000000005</v>
      </c>
      <c r="F5" s="93">
        <v>19619.333999999999</v>
      </c>
      <c r="G5" s="93">
        <v>8062.74</v>
      </c>
      <c r="H5" s="93">
        <v>45285.723000000005</v>
      </c>
      <c r="I5" s="93">
        <v>9540.9089999999997</v>
      </c>
      <c r="J5" s="93">
        <v>4300.1280000000006</v>
      </c>
      <c r="K5" s="93">
        <v>4703.2650000000003</v>
      </c>
      <c r="L5" s="93">
        <v>2418.8220000000001</v>
      </c>
      <c r="M5" s="93">
        <v>2418.8220000000001</v>
      </c>
      <c r="N5" s="93">
        <v>2015.6849999999999</v>
      </c>
      <c r="O5" s="93">
        <v>1075.0320000000002</v>
      </c>
      <c r="P5" s="93">
        <v>5778.2969999999996</v>
      </c>
      <c r="Q5" s="21"/>
      <c r="R5" s="21"/>
      <c r="S5" s="21"/>
      <c r="T5" s="21"/>
      <c r="U5" s="21"/>
      <c r="V5" s="21"/>
    </row>
    <row r="6" spans="1:22">
      <c r="A6" s="96">
        <v>2017</v>
      </c>
      <c r="B6" s="93">
        <v>103956.93</v>
      </c>
      <c r="C6" s="92">
        <f t="shared" si="0"/>
        <v>21196.413</v>
      </c>
      <c r="D6" s="93">
        <v>6345.4230000000007</v>
      </c>
      <c r="E6" s="93">
        <v>23761.584000000003</v>
      </c>
      <c r="F6" s="93">
        <v>19441.296000000002</v>
      </c>
      <c r="G6" s="93">
        <v>8100.54</v>
      </c>
      <c r="H6" s="93">
        <v>46308.086999999992</v>
      </c>
      <c r="I6" s="93">
        <v>9720.648000000001</v>
      </c>
      <c r="J6" s="93">
        <v>4725.3149999999996</v>
      </c>
      <c r="K6" s="93">
        <v>4995.3330000000005</v>
      </c>
      <c r="L6" s="93">
        <v>2430.1620000000003</v>
      </c>
      <c r="M6" s="93">
        <v>2295.1529999999998</v>
      </c>
      <c r="N6" s="93">
        <v>1890.1259999999997</v>
      </c>
      <c r="O6" s="93">
        <v>1215.0810000000001</v>
      </c>
      <c r="P6" s="93">
        <v>3645.2430000000004</v>
      </c>
      <c r="Q6" s="21"/>
      <c r="R6" s="21"/>
      <c r="S6" s="21"/>
      <c r="T6" s="21"/>
      <c r="U6" s="21"/>
      <c r="V6" s="21"/>
    </row>
    <row r="7" spans="1:22">
      <c r="A7" s="96">
        <v>2018</v>
      </c>
      <c r="B7" s="92">
        <v>105563.19900000001</v>
      </c>
      <c r="C7" s="92">
        <f t="shared" si="0"/>
        <v>21713.517</v>
      </c>
      <c r="D7" s="92">
        <v>6555.0240000000003</v>
      </c>
      <c r="E7" s="92">
        <v>24171.651000000002</v>
      </c>
      <c r="F7" s="92">
        <v>18162.879000000001</v>
      </c>
      <c r="G7" s="92">
        <v>8603.469000000001</v>
      </c>
      <c r="H7" s="92">
        <v>48206.738999999994</v>
      </c>
      <c r="I7" s="92">
        <v>9286.2839999999997</v>
      </c>
      <c r="J7" s="92">
        <v>5052.8310000000001</v>
      </c>
      <c r="K7" s="92">
        <v>4643.1419999999998</v>
      </c>
      <c r="L7" s="92">
        <v>2594.6969999999997</v>
      </c>
      <c r="M7" s="92">
        <v>2321.5709999999999</v>
      </c>
      <c r="N7" s="92">
        <v>1911.8819999999998</v>
      </c>
      <c r="O7" s="92">
        <v>1229.067</v>
      </c>
      <c r="P7" s="92">
        <v>3960.3270000000002</v>
      </c>
      <c r="Q7" s="21"/>
      <c r="R7" s="21"/>
      <c r="S7" s="21"/>
      <c r="T7" s="21"/>
      <c r="U7" s="21"/>
      <c r="V7" s="21"/>
    </row>
    <row r="8" spans="1:22">
      <c r="A8" s="96">
        <v>2019</v>
      </c>
      <c r="B8" s="92">
        <v>95718.7</v>
      </c>
      <c r="C8" s="92">
        <f t="shared" si="0"/>
        <v>19143.739999999998</v>
      </c>
      <c r="D8" s="92">
        <v>5804.8760000000002</v>
      </c>
      <c r="E8" s="92">
        <v>20872.851999999999</v>
      </c>
      <c r="F8" s="92">
        <v>17414.628000000001</v>
      </c>
      <c r="G8" s="92">
        <v>8028.02</v>
      </c>
      <c r="H8" s="92">
        <v>43598.323999999993</v>
      </c>
      <c r="I8" s="92">
        <v>8769.0679999999993</v>
      </c>
      <c r="J8" s="92">
        <v>4199.2719999999999</v>
      </c>
      <c r="K8" s="92">
        <v>4075.7639999999997</v>
      </c>
      <c r="L8" s="92">
        <v>2223.1439999999998</v>
      </c>
      <c r="M8" s="92">
        <v>2470.16</v>
      </c>
      <c r="N8" s="92">
        <v>1729.1119999999999</v>
      </c>
      <c r="O8" s="92">
        <v>1111.5719999999999</v>
      </c>
      <c r="P8" s="92">
        <v>3334.7160000000003</v>
      </c>
      <c r="Q8" s="21"/>
      <c r="R8" s="21"/>
      <c r="S8" s="21"/>
      <c r="T8" s="21"/>
      <c r="U8" s="21"/>
      <c r="V8" s="21"/>
    </row>
    <row r="9" spans="1:22">
      <c r="A9" s="96">
        <v>2020</v>
      </c>
      <c r="B9" s="94">
        <v>69542.394</v>
      </c>
      <c r="C9" s="92">
        <f t="shared" si="0"/>
        <v>10948.864000000001</v>
      </c>
      <c r="D9" s="92">
        <v>3763.672</v>
      </c>
      <c r="E9" s="92">
        <v>13429.465999999999</v>
      </c>
      <c r="F9" s="92">
        <v>12488.548000000001</v>
      </c>
      <c r="G9" s="92">
        <v>5474.4320000000007</v>
      </c>
      <c r="H9" s="92">
        <v>34386.275999999998</v>
      </c>
      <c r="I9" s="92">
        <v>5046.7420000000002</v>
      </c>
      <c r="J9" s="92">
        <v>2395.0639999999999</v>
      </c>
      <c r="K9" s="92">
        <v>2309.5259999999998</v>
      </c>
      <c r="L9" s="92">
        <v>1283.07</v>
      </c>
      <c r="M9" s="92">
        <v>1111.9940000000001</v>
      </c>
      <c r="N9" s="92">
        <v>855.38</v>
      </c>
      <c r="O9" s="92">
        <v>598.76599999999996</v>
      </c>
      <c r="P9" s="92">
        <v>2395.0639999999999</v>
      </c>
      <c r="Q9" s="21"/>
      <c r="R9" s="21"/>
      <c r="S9" s="21"/>
      <c r="T9" s="21"/>
      <c r="U9" s="21"/>
      <c r="V9" s="21"/>
    </row>
    <row r="10" spans="1:22">
      <c r="A10" s="96">
        <v>2021</v>
      </c>
      <c r="B10" s="94">
        <v>72167.453999999998</v>
      </c>
      <c r="C10" s="92">
        <f t="shared" si="0"/>
        <v>12542.958000000001</v>
      </c>
      <c r="D10" s="92">
        <v>4180.9859999999999</v>
      </c>
      <c r="E10" s="92">
        <v>13451.868</v>
      </c>
      <c r="F10" s="92">
        <v>12542.958000000001</v>
      </c>
      <c r="G10" s="92">
        <v>5635.2420000000011</v>
      </c>
      <c r="H10" s="92">
        <v>36356.400000000001</v>
      </c>
      <c r="I10" s="92">
        <v>6089.697000000001</v>
      </c>
      <c r="J10" s="92">
        <v>3090.2939999999999</v>
      </c>
      <c r="K10" s="92">
        <v>2363.1660000000002</v>
      </c>
      <c r="L10" s="92">
        <v>1545.1469999999999</v>
      </c>
      <c r="M10" s="92">
        <v>1090.692</v>
      </c>
      <c r="N10" s="92">
        <v>999.80100000000004</v>
      </c>
      <c r="O10" s="92">
        <v>545.346</v>
      </c>
      <c r="P10" s="92">
        <v>2908.5120000000002</v>
      </c>
      <c r="Q10" s="21"/>
      <c r="R10" s="21"/>
      <c r="S10" s="21"/>
      <c r="T10" s="21"/>
      <c r="U10" s="21"/>
      <c r="V10" s="21"/>
    </row>
    <row r="11" spans="1:22">
      <c r="A11" s="95">
        <v>2022</v>
      </c>
      <c r="B11" s="94">
        <v>79845.48</v>
      </c>
      <c r="C11" s="92">
        <f t="shared" si="0"/>
        <v>15150.168</v>
      </c>
      <c r="D11" s="92">
        <v>5118.3</v>
      </c>
      <c r="E11" s="92">
        <v>15354.9</v>
      </c>
      <c r="F11" s="92">
        <v>13102.848</v>
      </c>
      <c r="G11" s="92">
        <v>6039.5940000000001</v>
      </c>
      <c r="H11" s="92">
        <v>40229.837999999996</v>
      </c>
      <c r="I11" s="92">
        <v>7370.3520000000008</v>
      </c>
      <c r="J11" s="92">
        <v>3685.1760000000004</v>
      </c>
      <c r="K11" s="92">
        <v>2559.15</v>
      </c>
      <c r="L11" s="92">
        <v>2047.32</v>
      </c>
      <c r="M11" s="92">
        <v>1535.49</v>
      </c>
      <c r="N11" s="92">
        <v>1535.49</v>
      </c>
      <c r="O11" s="92">
        <v>716.56200000000001</v>
      </c>
      <c r="P11" s="92">
        <v>3070.98</v>
      </c>
      <c r="Q11" s="21"/>
      <c r="R11" s="21"/>
      <c r="S11" s="21"/>
      <c r="T11" s="21"/>
      <c r="U11" s="21"/>
      <c r="V11" s="21"/>
    </row>
    <row r="12" spans="1:22">
      <c r="A12" s="95">
        <v>2023</v>
      </c>
      <c r="B12" s="94">
        <v>87790.56</v>
      </c>
      <c r="C12" s="92">
        <f t="shared" si="0"/>
        <v>16882.8</v>
      </c>
      <c r="D12" s="92">
        <v>6302.9119999999994</v>
      </c>
      <c r="E12" s="92">
        <v>17333.008000000002</v>
      </c>
      <c r="F12" s="92">
        <v>14069</v>
      </c>
      <c r="G12" s="92">
        <v>6865.6719999999996</v>
      </c>
      <c r="H12" s="92">
        <v>43332.52</v>
      </c>
      <c r="I12" s="92">
        <v>7991.1919999999991</v>
      </c>
      <c r="J12" s="92">
        <v>4051.8720000000003</v>
      </c>
      <c r="K12" s="92">
        <v>2813.8</v>
      </c>
      <c r="L12" s="92">
        <v>2025.9360000000001</v>
      </c>
      <c r="M12" s="92">
        <v>1688.28</v>
      </c>
      <c r="N12" s="92">
        <v>1575.7279999999998</v>
      </c>
      <c r="O12" s="92">
        <v>787.86399999999992</v>
      </c>
      <c r="P12" s="92">
        <v>3939.32</v>
      </c>
      <c r="Q12" s="21"/>
      <c r="R12" s="21"/>
      <c r="S12" s="21"/>
      <c r="T12" s="21"/>
      <c r="U12" s="21"/>
      <c r="V12" s="21"/>
    </row>
    <row r="13" spans="1:22">
      <c r="A13" s="95">
        <v>2024</v>
      </c>
      <c r="B13" s="94">
        <v>91250.82</v>
      </c>
      <c r="C13" s="92">
        <f t="shared" si="0"/>
        <v>17481</v>
      </c>
      <c r="D13" s="92">
        <v>6409.7</v>
      </c>
      <c r="E13" s="92">
        <v>17481</v>
      </c>
      <c r="F13" s="92">
        <v>15150.2</v>
      </c>
      <c r="G13" s="92">
        <v>7575.1</v>
      </c>
      <c r="H13" s="92">
        <v>44634.82</v>
      </c>
      <c r="I13" s="92">
        <v>7924.72</v>
      </c>
      <c r="J13" s="92">
        <v>4545.0600000000004</v>
      </c>
      <c r="K13" s="92">
        <v>3030.04</v>
      </c>
      <c r="L13" s="92">
        <v>2214.2600000000002</v>
      </c>
      <c r="M13" s="92">
        <v>1748.1</v>
      </c>
      <c r="N13" s="92">
        <v>1515.02</v>
      </c>
      <c r="O13" s="92">
        <v>815.78</v>
      </c>
      <c r="P13" s="92">
        <v>3612.74</v>
      </c>
      <c r="Q13" s="131"/>
      <c r="R13" s="21"/>
      <c r="S13" s="21"/>
      <c r="T13" s="21"/>
      <c r="U13" s="21"/>
      <c r="V13" s="21"/>
    </row>
    <row r="14" spans="1:22"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1"/>
      <c r="R14" s="21"/>
      <c r="S14" s="21"/>
      <c r="T14" s="21"/>
      <c r="U14" s="21"/>
      <c r="V14" s="21"/>
    </row>
    <row r="15" spans="1:22">
      <c r="A15" s="12"/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21"/>
      <c r="R15" s="21"/>
      <c r="S15" s="21"/>
      <c r="T15" s="21"/>
      <c r="U15" s="21"/>
      <c r="V15" s="21"/>
    </row>
    <row r="16" spans="1:22">
      <c r="A16" s="12"/>
      <c r="B16" s="12"/>
      <c r="C16" s="13"/>
      <c r="D16" s="13"/>
      <c r="E16" s="13"/>
      <c r="F16" s="13"/>
      <c r="G16" s="13"/>
      <c r="H16" s="13"/>
      <c r="N16" s="21"/>
      <c r="O16" s="21"/>
      <c r="P16" s="21"/>
      <c r="Q16" s="21"/>
      <c r="R16" s="21"/>
      <c r="S16" s="21"/>
      <c r="T16" s="21"/>
      <c r="U16" s="21"/>
      <c r="V16" s="21"/>
    </row>
    <row r="17" spans="1:22">
      <c r="A17" s="12"/>
      <c r="B17" s="12"/>
      <c r="C17" s="13"/>
      <c r="D17" s="13"/>
      <c r="E17" s="13"/>
      <c r="F17" s="13"/>
      <c r="G17" s="13"/>
      <c r="H17" s="13"/>
      <c r="N17" s="21"/>
      <c r="O17" s="21"/>
      <c r="P17" s="21"/>
      <c r="Q17" s="21"/>
      <c r="R17" s="21"/>
      <c r="S17" s="21"/>
      <c r="T17" s="21"/>
      <c r="U17" s="21"/>
      <c r="V17" s="21"/>
    </row>
    <row r="18" spans="1:22">
      <c r="A18" s="12"/>
      <c r="B18" s="12"/>
      <c r="C18" s="13"/>
      <c r="D18" s="13"/>
      <c r="E18" s="13"/>
      <c r="F18" s="13"/>
      <c r="G18" s="13"/>
      <c r="H18" s="13"/>
      <c r="N18" s="21"/>
      <c r="O18" s="21"/>
      <c r="P18" s="21"/>
      <c r="Q18" s="21"/>
      <c r="R18" s="21"/>
    </row>
    <row r="19" spans="1:22">
      <c r="A19" s="12"/>
      <c r="B19" s="12"/>
      <c r="C19" s="13"/>
      <c r="D19" s="13"/>
      <c r="E19" s="13"/>
      <c r="F19" s="13"/>
      <c r="G19" s="13"/>
      <c r="H19" s="13"/>
      <c r="I19" s="21"/>
      <c r="J19" s="21"/>
      <c r="K19" s="21"/>
      <c r="L19" s="21"/>
      <c r="M19" s="21"/>
      <c r="N19" s="21"/>
      <c r="O19" s="21"/>
      <c r="P19" s="21"/>
      <c r="Q19" s="21"/>
      <c r="R19" s="21"/>
    </row>
    <row r="20" spans="1:22">
      <c r="A20" s="12"/>
      <c r="B20" s="12"/>
      <c r="C20" s="13"/>
      <c r="D20" s="13"/>
      <c r="E20" s="13"/>
      <c r="F20" s="13"/>
      <c r="G20" s="13"/>
      <c r="H20" s="13"/>
      <c r="I20" s="21"/>
      <c r="J20" s="21"/>
      <c r="K20" s="21"/>
      <c r="L20" s="21"/>
      <c r="M20" s="21"/>
      <c r="N20" s="21"/>
      <c r="O20" s="21"/>
      <c r="P20" s="21"/>
      <c r="Q20" s="21"/>
      <c r="R20" s="21"/>
    </row>
    <row r="21" spans="1:2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H29"/>
  <sheetViews>
    <sheetView zoomScale="75" workbookViewId="0">
      <selection activeCell="C27" sqref="C27"/>
    </sheetView>
  </sheetViews>
  <sheetFormatPr baseColWidth="10" defaultColWidth="8.83203125" defaultRowHeight="15"/>
  <cols>
    <col min="1" max="3" width="13.1640625" customWidth="1"/>
  </cols>
  <sheetData>
    <row r="1" spans="1:4">
      <c r="B1" t="s">
        <v>398</v>
      </c>
      <c r="C1" t="s">
        <v>399</v>
      </c>
      <c r="D1" s="1"/>
    </row>
    <row r="2" spans="1:4">
      <c r="A2" t="s">
        <v>2</v>
      </c>
      <c r="B2">
        <v>215218000</v>
      </c>
      <c r="C2">
        <v>15675000</v>
      </c>
      <c r="D2" s="1"/>
    </row>
    <row r="3" spans="1:4">
      <c r="A3" t="s">
        <v>401</v>
      </c>
      <c r="B3">
        <v>9245000</v>
      </c>
      <c r="C3">
        <v>1073000</v>
      </c>
      <c r="D3" s="1"/>
    </row>
    <row r="4" spans="1:4">
      <c r="A4" t="s">
        <v>402</v>
      </c>
      <c r="B4">
        <v>11928000</v>
      </c>
      <c r="C4">
        <v>533000</v>
      </c>
      <c r="D4" s="1"/>
    </row>
    <row r="5" spans="1:4">
      <c r="A5" t="s">
        <v>403</v>
      </c>
      <c r="B5">
        <v>11674000</v>
      </c>
      <c r="C5">
        <v>1289000</v>
      </c>
      <c r="D5" s="1"/>
    </row>
    <row r="6" spans="1:4">
      <c r="A6" t="s">
        <v>404</v>
      </c>
      <c r="B6">
        <v>108237000</v>
      </c>
      <c r="C6">
        <v>8545000</v>
      </c>
      <c r="D6" s="1"/>
    </row>
    <row r="7" spans="1:4">
      <c r="A7" t="s">
        <v>405</v>
      </c>
      <c r="B7">
        <v>11475000</v>
      </c>
      <c r="C7">
        <v>922000</v>
      </c>
      <c r="D7" s="1"/>
    </row>
    <row r="8" spans="1:4">
      <c r="A8" t="s">
        <v>406</v>
      </c>
      <c r="B8">
        <v>62659000</v>
      </c>
      <c r="C8">
        <v>3313000</v>
      </c>
      <c r="D8" s="1"/>
    </row>
    <row r="9" spans="1:4">
      <c r="A9" s="1"/>
      <c r="B9" s="1"/>
      <c r="C9" s="1"/>
      <c r="D9" s="1"/>
    </row>
    <row r="10" spans="1:4">
      <c r="B10" s="1"/>
      <c r="C10" s="1"/>
      <c r="D10" s="1"/>
    </row>
    <row r="11" spans="1:4">
      <c r="A11" s="1"/>
      <c r="B11" s="1"/>
      <c r="C11" s="1"/>
      <c r="D11" s="1"/>
    </row>
    <row r="29" spans="1:8">
      <c r="A29" s="2"/>
      <c r="B29" s="2"/>
      <c r="C29" s="2"/>
      <c r="D29" s="2"/>
      <c r="E29" s="2"/>
      <c r="F29" s="2"/>
      <c r="G29" s="2"/>
      <c r="H29" s="2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1E4B-AB45-D543-A3F5-4D46942DCD0D}">
  <sheetPr codeName="Sheet96"/>
  <dimension ref="A1:H27"/>
  <sheetViews>
    <sheetView workbookViewId="0">
      <selection activeCell="J27" sqref="J27"/>
    </sheetView>
  </sheetViews>
  <sheetFormatPr baseColWidth="10" defaultRowHeight="15"/>
  <cols>
    <col min="1" max="1" width="11.5" customWidth="1"/>
  </cols>
  <sheetData>
    <row r="1" spans="1:8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</row>
    <row r="2" spans="1:8">
      <c r="A2">
        <v>2017</v>
      </c>
      <c r="B2" s="25">
        <v>0.17235188509874327</v>
      </c>
      <c r="C2" s="25">
        <v>0.16588124410933083</v>
      </c>
      <c r="D2" s="25">
        <v>0.11290322580645161</v>
      </c>
      <c r="E2" s="25">
        <v>4.8000000000000001E-2</v>
      </c>
      <c r="F2" s="25">
        <v>0.11179740580605312</v>
      </c>
      <c r="G2" s="25">
        <v>5.6739673673379391E-2</v>
      </c>
      <c r="H2" s="25">
        <v>3.216911764705882E-2</v>
      </c>
    </row>
    <row r="3" spans="1:8">
      <c r="A3">
        <v>2019</v>
      </c>
      <c r="B3" s="25">
        <v>0.15584415584415584</v>
      </c>
      <c r="C3" s="25">
        <v>0.15482954545454544</v>
      </c>
      <c r="D3" s="25">
        <v>0.12742382271468145</v>
      </c>
      <c r="E3" s="25">
        <v>6.0796645702306078E-2</v>
      </c>
      <c r="F3" s="25">
        <v>9.5132743362831854E-2</v>
      </c>
      <c r="G3" s="25">
        <v>5.6679048012106208E-2</v>
      </c>
      <c r="H3" s="25">
        <v>3.2967427177500362E-2</v>
      </c>
    </row>
    <row r="4" spans="1:8">
      <c r="A4">
        <v>2021</v>
      </c>
      <c r="B4" s="25">
        <v>0.15956055453832069</v>
      </c>
      <c r="C4" s="25">
        <v>0.11634349030470914</v>
      </c>
      <c r="D4" s="25">
        <v>0.18840579710144928</v>
      </c>
      <c r="E4" s="25">
        <v>6.9306930693069313E-2</v>
      </c>
      <c r="F4" s="25">
        <v>9.1703056768558958E-2</v>
      </c>
      <c r="G4" s="25">
        <v>5.7178683385579937E-2</v>
      </c>
      <c r="H4" s="25">
        <v>3.551072575909358E-2</v>
      </c>
    </row>
    <row r="5" spans="1:8">
      <c r="A5">
        <v>2023</v>
      </c>
      <c r="B5" s="25">
        <v>0.13717421124828533</v>
      </c>
      <c r="C5" s="25">
        <v>0.1371732593106639</v>
      </c>
      <c r="D5" s="25">
        <v>9.3908629441624369E-2</v>
      </c>
      <c r="E5" s="25">
        <v>6.8226120857699801E-2</v>
      </c>
      <c r="F5" s="25">
        <v>8.9327691584391161E-2</v>
      </c>
      <c r="G5" s="25">
        <v>5.4091688089117393E-2</v>
      </c>
      <c r="H5" s="25">
        <v>3.270419241690329E-2</v>
      </c>
    </row>
    <row r="6" spans="1:8">
      <c r="E6" s="26"/>
    </row>
    <row r="7" spans="1:8">
      <c r="E7" s="26"/>
    </row>
    <row r="8" spans="1:8">
      <c r="E8" s="26"/>
    </row>
    <row r="9" spans="1:8">
      <c r="E9" s="26"/>
    </row>
    <row r="10" spans="1:8">
      <c r="E10" s="26"/>
    </row>
    <row r="18" spans="2:3">
      <c r="B18" s="25"/>
    </row>
    <row r="19" spans="2:3">
      <c r="B19" s="25"/>
    </row>
    <row r="20" spans="2:3">
      <c r="B20" s="25"/>
    </row>
    <row r="21" spans="2:3">
      <c r="B21" s="25"/>
      <c r="C21" s="25"/>
    </row>
    <row r="22" spans="2:3">
      <c r="C22" s="25"/>
    </row>
    <row r="23" spans="2:3">
      <c r="C23" s="25"/>
    </row>
    <row r="24" spans="2:3">
      <c r="C24" s="25"/>
    </row>
    <row r="25" spans="2:3">
      <c r="C25" s="25"/>
    </row>
    <row r="26" spans="2:3">
      <c r="C26" s="25"/>
    </row>
    <row r="27" spans="2:3">
      <c r="C27" s="25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441B-7049-9A49-909C-B15C52001F8A}">
  <sheetPr codeName="Sheet93"/>
  <dimension ref="A1:E9"/>
  <sheetViews>
    <sheetView workbookViewId="0"/>
  </sheetViews>
  <sheetFormatPr baseColWidth="10" defaultRowHeight="15"/>
  <sheetData>
    <row r="1" spans="1:5">
      <c r="A1" s="7" t="s">
        <v>0</v>
      </c>
      <c r="B1" s="7" t="s">
        <v>455</v>
      </c>
      <c r="C1" s="7" t="s">
        <v>456</v>
      </c>
      <c r="D1" s="7" t="s">
        <v>457</v>
      </c>
      <c r="E1" s="7" t="s">
        <v>458</v>
      </c>
    </row>
    <row r="2" spans="1:5">
      <c r="A2" s="7">
        <v>2003</v>
      </c>
      <c r="B2" s="11">
        <v>0.24959999999999999</v>
      </c>
      <c r="C2" s="11">
        <v>0.27660000000000001</v>
      </c>
      <c r="D2" s="11">
        <v>0.52280000000000004</v>
      </c>
      <c r="E2" s="11">
        <v>0.44379999999999997</v>
      </c>
    </row>
    <row r="3" spans="1:5">
      <c r="A3" s="7">
        <v>2010</v>
      </c>
      <c r="B3" s="11">
        <v>0.24859999999999999</v>
      </c>
      <c r="C3" s="11">
        <v>0.27700000000000002</v>
      </c>
      <c r="D3" s="11">
        <v>0.54949999999999999</v>
      </c>
      <c r="E3" s="11">
        <v>0.4224</v>
      </c>
    </row>
    <row r="4" spans="1:5">
      <c r="A4" s="7">
        <v>2013</v>
      </c>
      <c r="B4" s="11">
        <v>0.2487</v>
      </c>
      <c r="C4" s="11">
        <v>0.27810000000000001</v>
      </c>
      <c r="D4" s="11">
        <v>0.55179999999999996</v>
      </c>
      <c r="E4" s="11">
        <v>0.43690000000000001</v>
      </c>
    </row>
    <row r="5" spans="1:5">
      <c r="A5" s="7">
        <v>2015</v>
      </c>
      <c r="B5" s="11">
        <v>0.25940000000000002</v>
      </c>
      <c r="C5" s="11">
        <v>0.27939999999999998</v>
      </c>
      <c r="D5" s="11">
        <v>0.51949999999999996</v>
      </c>
      <c r="E5" s="11">
        <v>0.46110000000000001</v>
      </c>
    </row>
    <row r="6" spans="1:5">
      <c r="A6" s="7">
        <v>2017</v>
      </c>
      <c r="B6" s="11">
        <v>0.25669999999999998</v>
      </c>
      <c r="C6" s="11">
        <v>0.28760000000000002</v>
      </c>
      <c r="D6" s="11">
        <v>0.51039999999999996</v>
      </c>
      <c r="E6" s="11">
        <v>0.44869999999999999</v>
      </c>
    </row>
    <row r="7" spans="1:5">
      <c r="A7" s="7">
        <v>2019</v>
      </c>
      <c r="B7" s="11">
        <v>0.26950000000000002</v>
      </c>
      <c r="C7" s="11">
        <v>0.28749999999999998</v>
      </c>
      <c r="D7" s="11">
        <v>0.56020000000000003</v>
      </c>
      <c r="E7" s="11">
        <v>0.46379999999999999</v>
      </c>
    </row>
    <row r="8" spans="1:5">
      <c r="A8" s="7">
        <v>2021</v>
      </c>
      <c r="B8" s="11">
        <v>0.28520000000000001</v>
      </c>
      <c r="C8" s="11">
        <v>0.30459999999999998</v>
      </c>
      <c r="D8" s="11">
        <v>0.57040000000000002</v>
      </c>
      <c r="E8" s="11">
        <v>0.46839999999999998</v>
      </c>
    </row>
    <row r="9" spans="1:5">
      <c r="A9" s="7">
        <v>2023</v>
      </c>
      <c r="B9" s="11">
        <v>0.30399999999999999</v>
      </c>
      <c r="C9" s="11">
        <v>0.32019999999999998</v>
      </c>
      <c r="D9" s="11">
        <v>0.56689999999999996</v>
      </c>
      <c r="E9" s="11">
        <v>0.4914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888E-1008-D541-9E53-8E5F24607C4A}">
  <sheetPr codeName="Sheet92"/>
  <dimension ref="A1:E9"/>
  <sheetViews>
    <sheetView workbookViewId="0">
      <selection activeCell="A2" sqref="A2"/>
    </sheetView>
  </sheetViews>
  <sheetFormatPr baseColWidth="10" defaultRowHeight="15"/>
  <sheetData>
    <row r="1" spans="1:5">
      <c r="A1" s="7" t="s">
        <v>0</v>
      </c>
      <c r="B1" s="7" t="s">
        <v>455</v>
      </c>
      <c r="C1" s="7" t="s">
        <v>456</v>
      </c>
      <c r="D1" s="7" t="s">
        <v>457</v>
      </c>
      <c r="E1" s="7" t="s">
        <v>458</v>
      </c>
    </row>
    <row r="2" spans="1:5">
      <c r="A2" s="7">
        <v>2003</v>
      </c>
      <c r="B2" s="11">
        <v>0.34329999999999999</v>
      </c>
      <c r="C2" s="11">
        <v>0.44950000000000001</v>
      </c>
      <c r="D2" s="11">
        <v>0.70369999999999999</v>
      </c>
      <c r="E2" s="11">
        <v>0.71179999999999999</v>
      </c>
    </row>
    <row r="3" spans="1:5">
      <c r="A3" s="7">
        <v>2010</v>
      </c>
      <c r="B3" s="11">
        <v>0.3886</v>
      </c>
      <c r="C3" s="11">
        <v>0.45729999999999998</v>
      </c>
      <c r="D3" s="11">
        <v>0.73150000000000004</v>
      </c>
      <c r="E3" s="11">
        <v>0.77629999999999999</v>
      </c>
    </row>
    <row r="4" spans="1:5">
      <c r="A4" s="7">
        <v>2013</v>
      </c>
      <c r="B4" s="11">
        <v>0.36380000000000001</v>
      </c>
      <c r="C4" s="11">
        <v>0.46839999999999998</v>
      </c>
      <c r="D4" s="11">
        <v>0.76100000000000001</v>
      </c>
      <c r="E4" s="11">
        <v>0.71260000000000001</v>
      </c>
    </row>
    <row r="5" spans="1:5">
      <c r="A5" s="7">
        <v>2015</v>
      </c>
      <c r="B5" s="11">
        <v>0.34410000000000002</v>
      </c>
      <c r="C5" s="11">
        <v>0.51419999999999999</v>
      </c>
      <c r="D5" s="11">
        <v>0.75560000000000005</v>
      </c>
      <c r="E5" s="11">
        <v>0.625</v>
      </c>
    </row>
    <row r="6" spans="1:5">
      <c r="A6" s="7">
        <v>2017</v>
      </c>
      <c r="B6" s="11">
        <v>0.35780000000000001</v>
      </c>
      <c r="C6" s="11">
        <v>0.49</v>
      </c>
      <c r="D6" s="11">
        <v>0.7379</v>
      </c>
      <c r="E6" s="11">
        <v>0.66469999999999996</v>
      </c>
    </row>
    <row r="7" spans="1:5">
      <c r="A7" s="7">
        <v>2019</v>
      </c>
      <c r="B7" s="11">
        <v>0.3795</v>
      </c>
      <c r="C7" s="11">
        <v>0.49</v>
      </c>
      <c r="D7" s="11">
        <v>0.76359999999999995</v>
      </c>
      <c r="E7" s="11">
        <v>0.67730000000000001</v>
      </c>
    </row>
    <row r="8" spans="1:5">
      <c r="A8" s="7">
        <v>2021</v>
      </c>
      <c r="B8" s="11">
        <v>0.37090000000000001</v>
      </c>
      <c r="C8" s="11">
        <v>0.47749999999999998</v>
      </c>
      <c r="D8" s="11">
        <v>0.71950000000000003</v>
      </c>
      <c r="E8" s="11">
        <v>0.65900000000000003</v>
      </c>
    </row>
    <row r="9" spans="1:5">
      <c r="A9" s="7">
        <v>2023</v>
      </c>
      <c r="B9" s="11">
        <v>0.3931</v>
      </c>
      <c r="C9" s="11">
        <v>0.50949999999999995</v>
      </c>
      <c r="D9" s="11">
        <v>0.75890000000000002</v>
      </c>
      <c r="E9" s="11">
        <v>0.65580000000000005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0AF98-83A3-8E47-A826-571B063CDF1F}">
  <sheetPr codeName="Sheet94"/>
  <dimension ref="A1:D5"/>
  <sheetViews>
    <sheetView workbookViewId="0"/>
  </sheetViews>
  <sheetFormatPr baseColWidth="10" defaultRowHeight="15"/>
  <sheetData>
    <row r="1" spans="1:4">
      <c r="A1" s="7" t="s">
        <v>0</v>
      </c>
      <c r="B1" s="7" t="s">
        <v>455</v>
      </c>
      <c r="C1" s="7" t="s">
        <v>456</v>
      </c>
      <c r="D1" s="7" t="s">
        <v>459</v>
      </c>
    </row>
    <row r="2" spans="1:4">
      <c r="A2" s="7">
        <v>2017</v>
      </c>
      <c r="B2" s="11">
        <v>0.21060000000000001</v>
      </c>
      <c r="C2" s="11">
        <v>0.25850000000000001</v>
      </c>
      <c r="D2" s="11">
        <v>0.48470000000000002</v>
      </c>
    </row>
    <row r="3" spans="1:4">
      <c r="A3" s="7">
        <v>2019</v>
      </c>
      <c r="B3" s="11">
        <v>0.21859999999999999</v>
      </c>
      <c r="C3" s="11">
        <v>0.25940000000000002</v>
      </c>
      <c r="D3" s="11">
        <v>0.52559999999999996</v>
      </c>
    </row>
    <row r="4" spans="1:4">
      <c r="A4" s="7">
        <v>2021</v>
      </c>
      <c r="B4" s="11">
        <v>0.22090000000000001</v>
      </c>
      <c r="C4" s="11">
        <v>0.2586</v>
      </c>
      <c r="D4" s="11">
        <v>0.50549999999999995</v>
      </c>
    </row>
    <row r="5" spans="1:4">
      <c r="A5" s="7">
        <v>2023</v>
      </c>
      <c r="B5" s="11">
        <v>0.2452</v>
      </c>
      <c r="C5" s="11">
        <v>0.28199999999999997</v>
      </c>
      <c r="D5" s="11">
        <v>0.52800000000000002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5B71-CBE8-CE47-A677-BB8DC994791C}">
  <sheetPr codeName="Sheet41">
    <tabColor rgb="FFFFFF00"/>
  </sheetPr>
  <dimension ref="A1:AH31"/>
  <sheetViews>
    <sheetView workbookViewId="0">
      <selection activeCell="A2" sqref="A2"/>
    </sheetView>
  </sheetViews>
  <sheetFormatPr baseColWidth="10" defaultColWidth="8.83203125" defaultRowHeight="15"/>
  <sheetData>
    <row r="1" spans="1:14">
      <c r="A1" s="97" t="s">
        <v>0</v>
      </c>
      <c r="B1" s="98" t="s">
        <v>527</v>
      </c>
      <c r="C1" s="98" t="s">
        <v>528</v>
      </c>
      <c r="D1" s="98" t="s">
        <v>529</v>
      </c>
      <c r="E1" s="98" t="s">
        <v>530</v>
      </c>
      <c r="F1" s="98" t="s">
        <v>531</v>
      </c>
      <c r="G1" s="98" t="s">
        <v>523</v>
      </c>
      <c r="H1" s="98" t="s">
        <v>524</v>
      </c>
      <c r="I1" s="98" t="s">
        <v>525</v>
      </c>
      <c r="J1" s="98" t="s">
        <v>526</v>
      </c>
      <c r="K1" s="98" t="s">
        <v>532</v>
      </c>
      <c r="L1" s="98" t="s">
        <v>502</v>
      </c>
      <c r="M1" s="98" t="s">
        <v>533</v>
      </c>
      <c r="N1" s="98" t="s">
        <v>2</v>
      </c>
    </row>
    <row r="2" spans="1:14">
      <c r="A2" s="98">
        <v>2009</v>
      </c>
      <c r="B2" s="98">
        <v>1556</v>
      </c>
      <c r="C2" s="98">
        <v>3578</v>
      </c>
      <c r="D2" s="98">
        <v>372</v>
      </c>
      <c r="E2" s="98">
        <v>3677</v>
      </c>
      <c r="F2" s="98">
        <v>532</v>
      </c>
      <c r="G2" s="98">
        <v>1462</v>
      </c>
      <c r="H2" s="98">
        <v>455</v>
      </c>
      <c r="I2" s="98">
        <v>567</v>
      </c>
      <c r="J2" s="98">
        <v>1720</v>
      </c>
      <c r="K2" s="98">
        <v>355</v>
      </c>
      <c r="L2" s="98">
        <v>14274</v>
      </c>
      <c r="M2" s="98">
        <v>20146</v>
      </c>
      <c r="N2">
        <v>34420</v>
      </c>
    </row>
    <row r="3" spans="1:14">
      <c r="A3" s="98">
        <v>2010</v>
      </c>
      <c r="B3" s="98">
        <v>6984</v>
      </c>
      <c r="C3" s="98">
        <v>7175</v>
      </c>
      <c r="D3" s="98">
        <v>285</v>
      </c>
      <c r="E3" s="98">
        <v>3208</v>
      </c>
      <c r="F3" s="98">
        <v>803</v>
      </c>
      <c r="G3" s="98">
        <v>1381</v>
      </c>
      <c r="H3" s="98">
        <v>382</v>
      </c>
      <c r="I3" s="98">
        <v>637</v>
      </c>
      <c r="J3" s="98">
        <v>1590</v>
      </c>
      <c r="K3" s="98">
        <v>360</v>
      </c>
      <c r="L3" s="98">
        <v>22805</v>
      </c>
      <c r="M3" s="98">
        <v>13556</v>
      </c>
      <c r="N3">
        <v>36361</v>
      </c>
    </row>
    <row r="4" spans="1:14">
      <c r="A4" s="98">
        <v>2011</v>
      </c>
      <c r="B4" s="98">
        <v>9578</v>
      </c>
      <c r="C4" s="98">
        <v>9985</v>
      </c>
      <c r="D4" s="98">
        <v>1890</v>
      </c>
      <c r="E4" s="98">
        <v>5578</v>
      </c>
      <c r="F4" s="98">
        <v>1156</v>
      </c>
      <c r="G4" s="98">
        <v>1999</v>
      </c>
      <c r="H4" s="98">
        <v>1611</v>
      </c>
      <c r="I4" s="98">
        <v>1661</v>
      </c>
      <c r="J4" s="98">
        <v>1749</v>
      </c>
      <c r="K4" s="98">
        <v>657</v>
      </c>
      <c r="L4" s="98">
        <v>35864</v>
      </c>
      <c r="M4" s="98">
        <v>19546</v>
      </c>
      <c r="N4">
        <v>55410</v>
      </c>
    </row>
    <row r="5" spans="1:14">
      <c r="A5" s="98">
        <v>2012</v>
      </c>
      <c r="B5" s="98">
        <v>16026</v>
      </c>
      <c r="C5" s="98">
        <v>9870</v>
      </c>
      <c r="D5" s="98">
        <v>6925</v>
      </c>
      <c r="E5" s="98">
        <v>7145</v>
      </c>
      <c r="F5" s="98">
        <v>1266</v>
      </c>
      <c r="G5" s="98">
        <v>482</v>
      </c>
      <c r="H5" s="98">
        <v>2883</v>
      </c>
      <c r="I5" s="98">
        <v>4379</v>
      </c>
      <c r="J5" s="98">
        <v>1156</v>
      </c>
      <c r="K5" s="98">
        <v>603</v>
      </c>
      <c r="L5" s="98">
        <v>50735</v>
      </c>
      <c r="M5" s="98">
        <v>24335</v>
      </c>
      <c r="N5">
        <v>75070</v>
      </c>
    </row>
    <row r="6" spans="1:14">
      <c r="A6" s="98">
        <v>2013</v>
      </c>
      <c r="B6" s="98">
        <v>12364</v>
      </c>
      <c r="C6" s="98">
        <v>12863</v>
      </c>
      <c r="D6" s="98">
        <v>5700</v>
      </c>
      <c r="E6" s="98">
        <v>6990</v>
      </c>
      <c r="F6" s="98">
        <v>1662</v>
      </c>
      <c r="G6" s="98">
        <v>421</v>
      </c>
      <c r="H6" s="98">
        <v>2734</v>
      </c>
      <c r="I6" s="98">
        <v>4229</v>
      </c>
      <c r="J6" s="98">
        <v>1181</v>
      </c>
      <c r="K6" s="98">
        <v>1048</v>
      </c>
      <c r="L6" s="98">
        <v>49192</v>
      </c>
      <c r="M6" s="98">
        <v>27360</v>
      </c>
      <c r="N6">
        <v>76552</v>
      </c>
    </row>
    <row r="7" spans="1:14">
      <c r="A7" s="98">
        <v>2014</v>
      </c>
      <c r="B7" s="98">
        <v>18632</v>
      </c>
      <c r="C7" s="98">
        <v>10353</v>
      </c>
      <c r="D7" s="98">
        <v>8812</v>
      </c>
      <c r="E7" s="98">
        <v>9249</v>
      </c>
      <c r="F7" s="98">
        <v>1992</v>
      </c>
      <c r="G7" s="98">
        <v>379</v>
      </c>
      <c r="H7" s="98">
        <v>2744</v>
      </c>
      <c r="I7" s="98">
        <v>4560</v>
      </c>
      <c r="J7" s="98">
        <v>1086</v>
      </c>
      <c r="K7" s="98">
        <v>1586</v>
      </c>
      <c r="L7" s="98">
        <v>59393</v>
      </c>
      <c r="M7" s="98">
        <v>36030</v>
      </c>
      <c r="N7">
        <v>95423</v>
      </c>
    </row>
    <row r="8" spans="1:14">
      <c r="A8" s="98">
        <v>2015</v>
      </c>
      <c r="B8" s="98">
        <v>17022</v>
      </c>
      <c r="C8" s="98">
        <v>9305</v>
      </c>
      <c r="D8" s="98">
        <v>8060</v>
      </c>
      <c r="E8" s="98">
        <v>6532</v>
      </c>
      <c r="F8" s="98">
        <v>2303</v>
      </c>
      <c r="G8" s="98">
        <v>419</v>
      </c>
      <c r="H8" s="98">
        <v>3206</v>
      </c>
      <c r="I8" s="98">
        <v>2675</v>
      </c>
      <c r="J8" s="98">
        <v>924</v>
      </c>
      <c r="K8" s="98">
        <v>1461</v>
      </c>
      <c r="L8" s="98">
        <v>51907</v>
      </c>
      <c r="M8" s="98">
        <v>31163</v>
      </c>
      <c r="N8">
        <v>83070</v>
      </c>
    </row>
    <row r="9" spans="1:14">
      <c r="A9" s="98">
        <v>2016</v>
      </c>
      <c r="B9" s="98">
        <v>22198</v>
      </c>
      <c r="C9" s="98">
        <v>13848</v>
      </c>
      <c r="D9" s="98">
        <v>11649</v>
      </c>
      <c r="E9" s="98">
        <v>7160</v>
      </c>
      <c r="F9" s="98">
        <v>2669</v>
      </c>
      <c r="G9" s="98">
        <v>689</v>
      </c>
      <c r="H9" s="98">
        <v>4084</v>
      </c>
      <c r="I9" s="98">
        <v>3672</v>
      </c>
      <c r="J9" s="98">
        <v>3461</v>
      </c>
      <c r="K9" s="98">
        <v>2087</v>
      </c>
      <c r="L9" s="98">
        <v>71517</v>
      </c>
      <c r="M9" s="98">
        <v>39027</v>
      </c>
      <c r="N9">
        <v>110544</v>
      </c>
    </row>
    <row r="10" spans="1:14">
      <c r="A10" s="98">
        <v>2017</v>
      </c>
      <c r="B10" s="98">
        <v>28434</v>
      </c>
      <c r="C10" s="98">
        <v>13834</v>
      </c>
      <c r="D10" s="98">
        <v>14374</v>
      </c>
      <c r="E10" s="98">
        <v>6837</v>
      </c>
      <c r="F10" s="98">
        <v>2808</v>
      </c>
      <c r="G10" s="98">
        <v>3884</v>
      </c>
      <c r="H10" s="98">
        <v>4921</v>
      </c>
      <c r="I10" s="98">
        <v>3129</v>
      </c>
      <c r="J10" s="98">
        <v>3876</v>
      </c>
      <c r="K10" s="98">
        <v>3335</v>
      </c>
      <c r="L10" s="98">
        <v>85432</v>
      </c>
      <c r="M10" s="98">
        <v>43369</v>
      </c>
      <c r="N10">
        <v>128801</v>
      </c>
    </row>
    <row r="11" spans="1:14">
      <c r="A11" s="98">
        <v>2018</v>
      </c>
      <c r="B11" s="98">
        <v>9208</v>
      </c>
      <c r="C11" s="98">
        <v>5963</v>
      </c>
      <c r="D11" s="98">
        <v>8775</v>
      </c>
      <c r="E11" s="98">
        <v>3160</v>
      </c>
      <c r="F11" s="98">
        <v>3404</v>
      </c>
      <c r="G11" s="98">
        <v>5747</v>
      </c>
      <c r="H11" s="98">
        <v>2625</v>
      </c>
      <c r="I11" s="98">
        <v>2592</v>
      </c>
      <c r="J11" s="98">
        <v>2660</v>
      </c>
      <c r="K11" s="98">
        <v>2917</v>
      </c>
      <c r="L11" s="98">
        <v>47051</v>
      </c>
      <c r="M11" s="98">
        <v>35175</v>
      </c>
      <c r="N11">
        <v>82226</v>
      </c>
    </row>
    <row r="12" spans="1:14">
      <c r="A12" s="98">
        <v>2019</v>
      </c>
      <c r="B12" s="98">
        <v>13284</v>
      </c>
      <c r="C12" s="98">
        <v>5506</v>
      </c>
      <c r="D12" s="98">
        <v>7609</v>
      </c>
      <c r="E12" s="98">
        <v>3129</v>
      </c>
      <c r="F12" s="98">
        <v>6048</v>
      </c>
      <c r="G12" s="98">
        <v>6438</v>
      </c>
      <c r="H12" s="98">
        <v>2787</v>
      </c>
      <c r="I12" s="98">
        <v>2919</v>
      </c>
      <c r="J12" s="98">
        <v>2936</v>
      </c>
      <c r="K12" s="98">
        <v>3536</v>
      </c>
      <c r="L12" s="98">
        <v>54192</v>
      </c>
      <c r="M12" s="98">
        <v>42997</v>
      </c>
      <c r="N12">
        <v>97189</v>
      </c>
    </row>
    <row r="13" spans="1:14">
      <c r="A13" s="98">
        <v>2020</v>
      </c>
      <c r="B13" s="98">
        <v>14749</v>
      </c>
      <c r="C13" s="98">
        <v>9839</v>
      </c>
      <c r="D13" s="98">
        <v>8422</v>
      </c>
      <c r="E13" s="98">
        <v>3587</v>
      </c>
      <c r="F13" s="98">
        <v>5816</v>
      </c>
      <c r="G13" s="98">
        <v>5512</v>
      </c>
      <c r="H13" s="98">
        <v>4625</v>
      </c>
      <c r="I13" s="98">
        <v>4086</v>
      </c>
      <c r="J13" s="98">
        <v>3148</v>
      </c>
      <c r="K13" s="98">
        <v>4761</v>
      </c>
      <c r="L13" s="98">
        <v>64545</v>
      </c>
      <c r="M13" s="98">
        <v>45047</v>
      </c>
      <c r="N13">
        <v>109592</v>
      </c>
    </row>
    <row r="14" spans="1:14">
      <c r="A14" s="98">
        <v>2021</v>
      </c>
      <c r="B14" s="98">
        <v>8808</v>
      </c>
      <c r="C14" s="98">
        <v>8874</v>
      </c>
      <c r="D14" s="98">
        <v>10524</v>
      </c>
      <c r="E14" s="98">
        <v>2931</v>
      </c>
      <c r="F14" s="98">
        <v>6463</v>
      </c>
      <c r="G14" s="98">
        <v>3880</v>
      </c>
      <c r="H14" s="98">
        <v>3291</v>
      </c>
      <c r="I14" s="98">
        <v>2578</v>
      </c>
      <c r="J14" s="98">
        <v>3141</v>
      </c>
      <c r="K14" s="98">
        <v>2975</v>
      </c>
      <c r="L14" s="98">
        <v>53465</v>
      </c>
      <c r="M14" s="98">
        <v>38294</v>
      </c>
      <c r="N14">
        <v>91759</v>
      </c>
    </row>
    <row r="15" spans="1:14">
      <c r="A15" s="98">
        <v>2022</v>
      </c>
      <c r="B15" s="98">
        <v>6117</v>
      </c>
      <c r="C15" s="98">
        <v>7103</v>
      </c>
      <c r="D15" s="98">
        <v>9970</v>
      </c>
      <c r="E15" s="98">
        <v>2268</v>
      </c>
      <c r="F15" s="98">
        <v>8417</v>
      </c>
      <c r="G15" s="98">
        <v>5255</v>
      </c>
      <c r="H15" s="98">
        <v>3418</v>
      </c>
      <c r="I15" s="98">
        <v>2180</v>
      </c>
      <c r="J15" s="98">
        <v>3063</v>
      </c>
      <c r="K15" s="98">
        <v>3120</v>
      </c>
      <c r="L15" s="98">
        <v>50911</v>
      </c>
      <c r="M15" s="98">
        <v>39228</v>
      </c>
      <c r="N15">
        <v>90139</v>
      </c>
    </row>
    <row r="16" spans="1:14">
      <c r="A16" s="98">
        <v>2023</v>
      </c>
      <c r="B16" s="98">
        <v>7615</v>
      </c>
      <c r="C16" s="98">
        <v>7098</v>
      </c>
      <c r="D16" s="98">
        <v>7045</v>
      </c>
      <c r="E16" s="98">
        <v>2413</v>
      </c>
      <c r="F16" s="98">
        <v>5444</v>
      </c>
      <c r="G16" s="98">
        <v>3716</v>
      </c>
      <c r="H16" s="98">
        <v>3044</v>
      </c>
      <c r="I16" s="98">
        <v>2133</v>
      </c>
      <c r="J16" s="98">
        <v>2447</v>
      </c>
      <c r="K16" s="98">
        <v>2820</v>
      </c>
      <c r="L16" s="98">
        <v>43775</v>
      </c>
      <c r="M16" s="98">
        <v>32009</v>
      </c>
      <c r="N16">
        <v>75784</v>
      </c>
    </row>
    <row r="17" spans="1:34">
      <c r="A17" s="98">
        <v>2024</v>
      </c>
      <c r="B17" s="98">
        <v>7441</v>
      </c>
      <c r="C17" s="98">
        <v>7863</v>
      </c>
      <c r="D17" s="98">
        <v>7483</v>
      </c>
      <c r="E17" s="98">
        <v>1630</v>
      </c>
      <c r="F17" s="98">
        <v>5328</v>
      </c>
      <c r="G17" s="98">
        <v>3414</v>
      </c>
      <c r="H17" s="98">
        <v>3127</v>
      </c>
      <c r="I17" s="98">
        <v>2134</v>
      </c>
      <c r="J17" s="98">
        <v>2883</v>
      </c>
      <c r="K17" s="98">
        <v>2779</v>
      </c>
      <c r="L17" s="98">
        <v>44082</v>
      </c>
      <c r="M17" s="98">
        <v>31622</v>
      </c>
      <c r="N17">
        <v>75704</v>
      </c>
    </row>
    <row r="18" spans="1:34">
      <c r="A18" s="98">
        <v>2025</v>
      </c>
      <c r="B18" s="98">
        <v>3891</v>
      </c>
      <c r="C18" s="98">
        <v>2848</v>
      </c>
      <c r="D18" s="98">
        <v>6041</v>
      </c>
      <c r="E18" s="98">
        <v>1803</v>
      </c>
      <c r="F18" s="98">
        <v>5438</v>
      </c>
      <c r="G18" s="98">
        <v>3936</v>
      </c>
      <c r="H18" s="98">
        <v>2403</v>
      </c>
      <c r="I18" s="98">
        <v>1842</v>
      </c>
      <c r="J18" s="98">
        <v>1994</v>
      </c>
      <c r="K18" s="98">
        <v>2154</v>
      </c>
      <c r="L18" s="98">
        <v>32350</v>
      </c>
      <c r="M18" s="98">
        <v>32864</v>
      </c>
      <c r="N18">
        <v>65214</v>
      </c>
    </row>
    <row r="19" spans="1:34">
      <c r="A19" s="98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</row>
    <row r="20" spans="1:34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</row>
    <row r="21" spans="1:34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</row>
    <row r="22" spans="1:34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</row>
    <row r="23" spans="1:34"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</row>
    <row r="24" spans="1:34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</row>
    <row r="25" spans="1:34"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</row>
    <row r="26" spans="1:34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</row>
    <row r="27" spans="1:34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</row>
    <row r="28" spans="1:34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</row>
    <row r="29" spans="1:34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</row>
    <row r="30" spans="1:34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</row>
    <row r="31" spans="1:34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D11"/>
  <sheetViews>
    <sheetView workbookViewId="0">
      <selection activeCell="A2" sqref="A2"/>
    </sheetView>
  </sheetViews>
  <sheetFormatPr baseColWidth="10" defaultColWidth="8.83203125" defaultRowHeight="15"/>
  <sheetData>
    <row r="1" spans="1:4">
      <c r="A1" s="7" t="s">
        <v>0</v>
      </c>
      <c r="B1" s="7" t="s">
        <v>88</v>
      </c>
      <c r="C1" s="7" t="s">
        <v>83</v>
      </c>
      <c r="D1" s="7" t="s">
        <v>78</v>
      </c>
    </row>
    <row r="2" spans="1:4">
      <c r="A2" s="7">
        <v>2019</v>
      </c>
      <c r="B2" s="11">
        <v>0.4</v>
      </c>
      <c r="C2" s="11">
        <v>0.24</v>
      </c>
      <c r="D2" s="11">
        <v>0.36</v>
      </c>
    </row>
    <row r="3" spans="1:4">
      <c r="A3" s="7">
        <v>2020</v>
      </c>
      <c r="B3" s="11">
        <v>0.42</v>
      </c>
      <c r="C3" s="11">
        <v>0.32</v>
      </c>
      <c r="D3" s="11">
        <v>0.26</v>
      </c>
    </row>
    <row r="4" spans="1:4">
      <c r="A4" s="7">
        <v>2021</v>
      </c>
      <c r="B4" s="11">
        <v>0.32650000000000001</v>
      </c>
      <c r="C4" s="11">
        <v>0.38779999999999998</v>
      </c>
      <c r="D4" s="11">
        <v>0.28570000000000001</v>
      </c>
    </row>
    <row r="5" spans="1:4">
      <c r="A5" s="7">
        <v>2022</v>
      </c>
      <c r="B5" s="11">
        <v>0.35420000000000001</v>
      </c>
      <c r="C5" s="11">
        <v>0.25</v>
      </c>
      <c r="D5" s="11">
        <v>0.39579999999999999</v>
      </c>
    </row>
    <row r="6" spans="1:4">
      <c r="A6" s="7">
        <v>2023</v>
      </c>
      <c r="B6" s="11">
        <v>0.3488</v>
      </c>
      <c r="C6" s="11">
        <v>0.3256</v>
      </c>
      <c r="D6" s="11">
        <v>0.3256</v>
      </c>
    </row>
    <row r="7" spans="1:4">
      <c r="A7" s="7">
        <v>2024</v>
      </c>
      <c r="B7" s="11">
        <v>0.3</v>
      </c>
      <c r="C7" s="11">
        <v>0.375</v>
      </c>
      <c r="D7" s="11">
        <v>0.32500000000000001</v>
      </c>
    </row>
    <row r="8" spans="1:4">
      <c r="A8" s="7">
        <v>2025</v>
      </c>
      <c r="B8" s="11">
        <v>0.20930000000000001</v>
      </c>
      <c r="C8" s="11">
        <v>0.3488</v>
      </c>
      <c r="D8" s="11">
        <v>0.44190000000000002</v>
      </c>
    </row>
    <row r="9" spans="1:4">
      <c r="A9" s="1"/>
      <c r="B9" s="1"/>
      <c r="C9" s="1"/>
      <c r="D9" s="1"/>
    </row>
    <row r="10" spans="1:4">
      <c r="B10" s="1"/>
      <c r="C10" s="1"/>
      <c r="D10" s="1"/>
    </row>
    <row r="11" spans="1:4">
      <c r="A11" s="1"/>
      <c r="B11" s="1"/>
      <c r="C11" s="1"/>
      <c r="D11" s="1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D60"/>
  <sheetViews>
    <sheetView zoomScale="88" workbookViewId="0">
      <selection activeCell="B2" sqref="B2"/>
    </sheetView>
  </sheetViews>
  <sheetFormatPr baseColWidth="10" defaultColWidth="8.83203125" defaultRowHeight="15"/>
  <sheetData>
    <row r="1" spans="1:4">
      <c r="A1" s="7" t="s">
        <v>73</v>
      </c>
      <c r="B1" s="7" t="s">
        <v>12</v>
      </c>
      <c r="C1" s="1"/>
    </row>
    <row r="2" spans="1:4">
      <c r="A2" s="7" t="s">
        <v>68</v>
      </c>
      <c r="B2" s="7">
        <v>76</v>
      </c>
      <c r="C2" s="1"/>
      <c r="D2" s="1"/>
    </row>
    <row r="3" spans="1:4">
      <c r="A3" s="7" t="s">
        <v>248</v>
      </c>
      <c r="B3" s="7">
        <v>38</v>
      </c>
      <c r="C3" s="1"/>
      <c r="D3" s="1"/>
    </row>
    <row r="4" spans="1:4">
      <c r="A4" s="7" t="s">
        <v>30</v>
      </c>
      <c r="B4" s="7">
        <v>36</v>
      </c>
      <c r="C4" s="1"/>
      <c r="D4" s="1"/>
    </row>
    <row r="5" spans="1:4">
      <c r="A5" s="7" t="s">
        <v>69</v>
      </c>
      <c r="B5" s="7">
        <v>22</v>
      </c>
      <c r="C5" s="1"/>
      <c r="D5" s="1"/>
    </row>
    <row r="6" spans="1:4">
      <c r="A6" s="7" t="s">
        <v>56</v>
      </c>
      <c r="B6" s="7">
        <v>19</v>
      </c>
      <c r="C6" s="1"/>
      <c r="D6" s="1"/>
    </row>
    <row r="7" spans="1:4">
      <c r="A7" s="7" t="s">
        <v>58</v>
      </c>
      <c r="B7" s="7">
        <v>17</v>
      </c>
      <c r="C7" s="1"/>
      <c r="D7" s="1"/>
    </row>
    <row r="8" spans="1:4">
      <c r="A8" s="7" t="s">
        <v>55</v>
      </c>
      <c r="B8" s="7">
        <v>10</v>
      </c>
      <c r="C8" s="1"/>
      <c r="D8" s="1"/>
    </row>
    <row r="9" spans="1:4">
      <c r="A9" s="7" t="s">
        <v>313</v>
      </c>
      <c r="B9" s="7">
        <v>8</v>
      </c>
      <c r="C9" s="1"/>
      <c r="D9" s="1"/>
    </row>
    <row r="10" spans="1:4">
      <c r="A10" s="7" t="s">
        <v>314</v>
      </c>
      <c r="B10" s="7">
        <v>7</v>
      </c>
      <c r="C10" s="1"/>
      <c r="D10" s="1"/>
    </row>
    <row r="11" spans="1:4">
      <c r="A11" s="7" t="s">
        <v>315</v>
      </c>
      <c r="B11" s="7">
        <v>7</v>
      </c>
      <c r="C11" s="1"/>
      <c r="D11" s="1"/>
    </row>
    <row r="12" spans="1:4">
      <c r="A12" s="7" t="s">
        <v>241</v>
      </c>
      <c r="B12" s="7">
        <v>7</v>
      </c>
    </row>
    <row r="13" spans="1:4">
      <c r="A13" s="7" t="s">
        <v>316</v>
      </c>
      <c r="B13" s="7">
        <v>6</v>
      </c>
    </row>
    <row r="14" spans="1:4">
      <c r="A14" s="7" t="s">
        <v>59</v>
      </c>
      <c r="B14" s="7">
        <v>6</v>
      </c>
    </row>
    <row r="15" spans="1:4">
      <c r="A15" s="7" t="s">
        <v>317</v>
      </c>
      <c r="B15" s="7">
        <v>4</v>
      </c>
    </row>
    <row r="16" spans="1:4">
      <c r="A16" s="7" t="s">
        <v>178</v>
      </c>
      <c r="B16" s="7">
        <v>4</v>
      </c>
    </row>
    <row r="17" spans="1:2">
      <c r="A17" s="7" t="s">
        <v>318</v>
      </c>
      <c r="B17" s="7">
        <v>4</v>
      </c>
    </row>
    <row r="18" spans="1:2">
      <c r="A18" s="7" t="s">
        <v>148</v>
      </c>
      <c r="B18" s="7">
        <v>4</v>
      </c>
    </row>
    <row r="19" spans="1:2">
      <c r="A19" s="7" t="s">
        <v>319</v>
      </c>
      <c r="B19" s="7">
        <v>4</v>
      </c>
    </row>
    <row r="20" spans="1:2">
      <c r="A20" s="7" t="s">
        <v>320</v>
      </c>
      <c r="B20" s="7">
        <v>4</v>
      </c>
    </row>
    <row r="21" spans="1:2">
      <c r="A21" s="7" t="s">
        <v>72</v>
      </c>
      <c r="B21" s="7">
        <v>3</v>
      </c>
    </row>
    <row r="22" spans="1:2">
      <c r="A22" s="7" t="s">
        <v>57</v>
      </c>
      <c r="B22" s="7">
        <v>3</v>
      </c>
    </row>
    <row r="23" spans="1:2">
      <c r="A23" s="7" t="s">
        <v>321</v>
      </c>
      <c r="B23" s="7">
        <v>3</v>
      </c>
    </row>
    <row r="24" spans="1:2">
      <c r="A24" s="7" t="s">
        <v>322</v>
      </c>
      <c r="B24" s="7">
        <v>3</v>
      </c>
    </row>
    <row r="25" spans="1:2">
      <c r="A25" s="7" t="s">
        <v>323</v>
      </c>
      <c r="B25" s="7">
        <v>3</v>
      </c>
    </row>
    <row r="26" spans="1:2">
      <c r="A26" s="7" t="s">
        <v>324</v>
      </c>
      <c r="B26" s="7">
        <v>3</v>
      </c>
    </row>
    <row r="27" spans="1:2">
      <c r="A27" s="7" t="s">
        <v>325</v>
      </c>
      <c r="B27" s="7">
        <v>2</v>
      </c>
    </row>
    <row r="28" spans="1:2">
      <c r="A28" s="7" t="s">
        <v>326</v>
      </c>
      <c r="B28" s="7">
        <v>2</v>
      </c>
    </row>
    <row r="29" spans="1:2">
      <c r="A29" s="7" t="s">
        <v>327</v>
      </c>
      <c r="B29" s="7">
        <v>2</v>
      </c>
    </row>
    <row r="30" spans="1:2">
      <c r="A30" s="7" t="s">
        <v>328</v>
      </c>
      <c r="B30" s="7">
        <v>2</v>
      </c>
    </row>
    <row r="31" spans="1:2">
      <c r="A31" s="7" t="s">
        <v>329</v>
      </c>
      <c r="B31" s="7">
        <v>2</v>
      </c>
    </row>
    <row r="32" spans="1:2">
      <c r="A32" s="7" t="s">
        <v>330</v>
      </c>
      <c r="B32" s="7">
        <v>2</v>
      </c>
    </row>
    <row r="33" spans="1:2">
      <c r="A33" s="7" t="s">
        <v>163</v>
      </c>
      <c r="B33" s="7">
        <v>2</v>
      </c>
    </row>
    <row r="34" spans="1:2">
      <c r="A34" s="7" t="s">
        <v>331</v>
      </c>
      <c r="B34" s="7">
        <v>2</v>
      </c>
    </row>
    <row r="35" spans="1:2">
      <c r="A35" s="7" t="s">
        <v>62</v>
      </c>
      <c r="B35" s="7">
        <v>2</v>
      </c>
    </row>
    <row r="36" spans="1:2">
      <c r="A36" s="7" t="s">
        <v>332</v>
      </c>
      <c r="B36" s="7">
        <v>2</v>
      </c>
    </row>
    <row r="37" spans="1:2">
      <c r="A37" s="7" t="s">
        <v>333</v>
      </c>
      <c r="B37" s="7">
        <v>2</v>
      </c>
    </row>
    <row r="38" spans="1:2">
      <c r="A38" s="7" t="s">
        <v>334</v>
      </c>
      <c r="B38" s="7">
        <v>2</v>
      </c>
    </row>
    <row r="39" spans="1:2">
      <c r="A39" s="7" t="s">
        <v>71</v>
      </c>
      <c r="B39" s="7">
        <v>1</v>
      </c>
    </row>
    <row r="40" spans="1:2">
      <c r="A40" s="7" t="s">
        <v>335</v>
      </c>
      <c r="B40" s="7">
        <v>1</v>
      </c>
    </row>
    <row r="41" spans="1:2">
      <c r="A41" s="7" t="s">
        <v>336</v>
      </c>
      <c r="B41" s="7">
        <v>1</v>
      </c>
    </row>
    <row r="42" spans="1:2">
      <c r="A42" s="7" t="s">
        <v>337</v>
      </c>
      <c r="B42" s="7">
        <v>1</v>
      </c>
    </row>
    <row r="43" spans="1:2">
      <c r="A43" s="7" t="s">
        <v>60</v>
      </c>
      <c r="B43" s="7">
        <v>1</v>
      </c>
    </row>
    <row r="44" spans="1:2">
      <c r="A44" s="7" t="s">
        <v>338</v>
      </c>
      <c r="B44" s="7">
        <v>1</v>
      </c>
    </row>
    <row r="45" spans="1:2">
      <c r="A45" s="7" t="s">
        <v>339</v>
      </c>
      <c r="B45" s="7">
        <v>1</v>
      </c>
    </row>
    <row r="46" spans="1:2">
      <c r="A46" s="7" t="s">
        <v>340</v>
      </c>
      <c r="B46" s="7">
        <v>1</v>
      </c>
    </row>
    <row r="47" spans="1:2">
      <c r="A47" s="7" t="s">
        <v>341</v>
      </c>
      <c r="B47" s="7">
        <v>1</v>
      </c>
    </row>
    <row r="48" spans="1:2">
      <c r="A48" s="7" t="s">
        <v>342</v>
      </c>
      <c r="B48" s="7">
        <v>1</v>
      </c>
    </row>
    <row r="49" spans="1:2">
      <c r="A49" s="7" t="s">
        <v>343</v>
      </c>
      <c r="B49" s="7">
        <v>1</v>
      </c>
    </row>
    <row r="50" spans="1:2">
      <c r="A50" s="7" t="s">
        <v>344</v>
      </c>
      <c r="B50" s="7">
        <v>1</v>
      </c>
    </row>
    <row r="51" spans="1:2">
      <c r="A51" s="7" t="s">
        <v>345</v>
      </c>
      <c r="B51" s="7">
        <v>1</v>
      </c>
    </row>
    <row r="52" spans="1:2">
      <c r="A52" s="7" t="s">
        <v>346</v>
      </c>
      <c r="B52" s="7">
        <v>1</v>
      </c>
    </row>
    <row r="53" spans="1:2">
      <c r="A53" s="7" t="s">
        <v>347</v>
      </c>
      <c r="B53" s="7">
        <v>1</v>
      </c>
    </row>
    <row r="54" spans="1:2">
      <c r="A54" s="7" t="s">
        <v>348</v>
      </c>
      <c r="B54" s="7">
        <v>1</v>
      </c>
    </row>
    <row r="55" spans="1:2">
      <c r="A55" s="7" t="s">
        <v>349</v>
      </c>
      <c r="B55" s="7">
        <v>1</v>
      </c>
    </row>
    <row r="56" spans="1:2">
      <c r="A56" s="7" t="s">
        <v>350</v>
      </c>
      <c r="B56" s="7">
        <v>1</v>
      </c>
    </row>
    <row r="57" spans="1:2">
      <c r="A57" s="7" t="s">
        <v>351</v>
      </c>
      <c r="B57" s="7">
        <v>1</v>
      </c>
    </row>
    <row r="58" spans="1:2">
      <c r="A58" s="7" t="s">
        <v>352</v>
      </c>
      <c r="B58" s="7">
        <v>1</v>
      </c>
    </row>
    <row r="59" spans="1:2">
      <c r="A59" s="7" t="s">
        <v>353</v>
      </c>
      <c r="B59" s="7">
        <v>1</v>
      </c>
    </row>
    <row r="60" spans="1:2">
      <c r="A60" s="7" t="s">
        <v>17</v>
      </c>
      <c r="B60" s="7">
        <v>240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I228"/>
  <sheetViews>
    <sheetView zoomScale="90" workbookViewId="0">
      <selection activeCell="H28" sqref="H28"/>
    </sheetView>
  </sheetViews>
  <sheetFormatPr baseColWidth="10" defaultColWidth="8.83203125" defaultRowHeight="15"/>
  <cols>
    <col min="4" max="4" width="17.1640625" customWidth="1"/>
    <col min="8" max="8" width="15.83203125" customWidth="1"/>
  </cols>
  <sheetData>
    <row r="1" spans="1:9">
      <c r="A1" s="7" t="s">
        <v>34</v>
      </c>
      <c r="B1" s="7" t="s">
        <v>74</v>
      </c>
      <c r="C1" s="7" t="s">
        <v>75</v>
      </c>
      <c r="D1" s="7" t="s">
        <v>77</v>
      </c>
      <c r="E1" s="7" t="s">
        <v>76</v>
      </c>
      <c r="F1" s="7" t="s">
        <v>74</v>
      </c>
      <c r="G1" s="7" t="s">
        <v>75</v>
      </c>
      <c r="H1" s="7" t="s">
        <v>77</v>
      </c>
      <c r="I1" s="7" t="s">
        <v>76</v>
      </c>
    </row>
    <row r="2" spans="1:9">
      <c r="A2" s="7" t="s">
        <v>36</v>
      </c>
      <c r="B2" s="7">
        <v>2015</v>
      </c>
      <c r="C2" s="7">
        <v>11</v>
      </c>
      <c r="D2" s="10">
        <v>500000000000</v>
      </c>
      <c r="E2" s="9" t="s">
        <v>79</v>
      </c>
    </row>
    <row r="3" spans="1:9">
      <c r="A3" s="7" t="s">
        <v>38</v>
      </c>
      <c r="B3" s="7">
        <v>2021</v>
      </c>
      <c r="C3" s="7">
        <v>8</v>
      </c>
      <c r="D3" s="10">
        <v>183000000000</v>
      </c>
      <c r="E3" s="9" t="s">
        <v>79</v>
      </c>
    </row>
    <row r="4" spans="1:9">
      <c r="A4" s="7" t="s">
        <v>80</v>
      </c>
      <c r="B4" s="7">
        <v>2013</v>
      </c>
      <c r="C4" s="7">
        <v>7</v>
      </c>
      <c r="D4" s="10">
        <v>100000000000</v>
      </c>
      <c r="E4" s="9" t="s">
        <v>79</v>
      </c>
    </row>
    <row r="5" spans="1:9">
      <c r="A5" s="7" t="s">
        <v>81</v>
      </c>
      <c r="B5" s="7">
        <v>2023</v>
      </c>
      <c r="C5" s="7">
        <v>12</v>
      </c>
      <c r="D5" s="10">
        <v>75000000000</v>
      </c>
      <c r="E5" s="9" t="s">
        <v>79</v>
      </c>
    </row>
    <row r="6" spans="1:9">
      <c r="A6" s="7" t="s">
        <v>87</v>
      </c>
      <c r="B6" s="7">
        <v>2005</v>
      </c>
      <c r="C6" s="7">
        <v>2</v>
      </c>
      <c r="D6" s="10">
        <v>29072610000</v>
      </c>
      <c r="E6" s="9" t="s">
        <v>79</v>
      </c>
    </row>
    <row r="7" spans="1:9">
      <c r="A7" s="7" t="s">
        <v>89</v>
      </c>
      <c r="B7" s="7">
        <v>2022</v>
      </c>
      <c r="C7" s="7">
        <v>4</v>
      </c>
      <c r="D7" s="10">
        <v>20000000000</v>
      </c>
      <c r="E7" s="9" t="s">
        <v>79</v>
      </c>
    </row>
    <row r="8" spans="1:9">
      <c r="A8" s="7" t="s">
        <v>90</v>
      </c>
      <c r="B8" s="7">
        <v>2004</v>
      </c>
      <c r="C8" s="7">
        <v>3</v>
      </c>
      <c r="D8" s="10">
        <v>20000000000</v>
      </c>
      <c r="E8" s="9" t="s">
        <v>79</v>
      </c>
    </row>
    <row r="9" spans="1:9">
      <c r="A9" s="7" t="s">
        <v>91</v>
      </c>
      <c r="B9" s="7">
        <v>2020</v>
      </c>
      <c r="C9" s="7">
        <v>1</v>
      </c>
      <c r="D9" s="10">
        <v>15000000000</v>
      </c>
      <c r="E9" s="9" t="s">
        <v>79</v>
      </c>
    </row>
    <row r="10" spans="1:9">
      <c r="A10" s="7" t="s">
        <v>92</v>
      </c>
      <c r="B10" s="7">
        <v>2023</v>
      </c>
      <c r="C10" s="7">
        <v>3</v>
      </c>
      <c r="D10" s="10">
        <v>13663720000</v>
      </c>
      <c r="E10" s="9" t="s">
        <v>79</v>
      </c>
    </row>
    <row r="11" spans="1:9">
      <c r="A11" s="7" t="s">
        <v>95</v>
      </c>
      <c r="B11" s="7">
        <v>2012</v>
      </c>
      <c r="C11" s="7">
        <v>3</v>
      </c>
      <c r="D11" s="10">
        <v>10000000000</v>
      </c>
      <c r="E11" s="9" t="s">
        <v>79</v>
      </c>
    </row>
    <row r="12" spans="1:9">
      <c r="A12" s="7" t="s">
        <v>97</v>
      </c>
      <c r="B12" s="7">
        <v>2025</v>
      </c>
      <c r="C12" s="7">
        <v>6</v>
      </c>
      <c r="D12" s="10">
        <v>10000000000</v>
      </c>
      <c r="E12" s="9" t="s">
        <v>79</v>
      </c>
    </row>
    <row r="13" spans="1:9">
      <c r="A13" s="7" t="s">
        <v>98</v>
      </c>
      <c r="B13" s="7">
        <v>2022</v>
      </c>
      <c r="C13" s="7">
        <v>4</v>
      </c>
      <c r="D13" s="10">
        <v>9900000000</v>
      </c>
      <c r="E13" s="9" t="s">
        <v>79</v>
      </c>
    </row>
    <row r="14" spans="1:9">
      <c r="A14" s="7" t="s">
        <v>99</v>
      </c>
      <c r="B14" s="7">
        <v>2016</v>
      </c>
      <c r="C14" s="7">
        <v>4</v>
      </c>
      <c r="D14" s="10">
        <v>9100000000</v>
      </c>
      <c r="E14" s="9" t="s">
        <v>79</v>
      </c>
    </row>
    <row r="15" spans="1:9">
      <c r="A15" s="7" t="s">
        <v>100</v>
      </c>
      <c r="B15" s="7">
        <v>2015</v>
      </c>
      <c r="C15" s="7">
        <v>2</v>
      </c>
      <c r="D15" s="10">
        <v>8487700000</v>
      </c>
      <c r="E15" s="9" t="s">
        <v>79</v>
      </c>
    </row>
    <row r="16" spans="1:9">
      <c r="A16" s="7" t="s">
        <v>101</v>
      </c>
      <c r="B16" s="7">
        <v>2015</v>
      </c>
      <c r="C16" s="7">
        <v>5</v>
      </c>
      <c r="D16" s="10">
        <v>8100000000</v>
      </c>
      <c r="E16" s="9" t="s">
        <v>79</v>
      </c>
    </row>
    <row r="17" spans="1:5">
      <c r="A17" s="7" t="s">
        <v>102</v>
      </c>
      <c r="B17" s="7">
        <v>2015</v>
      </c>
      <c r="C17" s="7">
        <v>2</v>
      </c>
      <c r="D17" s="10">
        <v>7250000000</v>
      </c>
      <c r="E17" s="9" t="s">
        <v>79</v>
      </c>
    </row>
    <row r="18" spans="1:5">
      <c r="A18" s="7" t="s">
        <v>103</v>
      </c>
      <c r="B18" s="7">
        <v>2019</v>
      </c>
      <c r="C18" s="7">
        <v>3</v>
      </c>
      <c r="D18" s="10">
        <v>7200000000</v>
      </c>
      <c r="E18" s="9" t="s">
        <v>79</v>
      </c>
    </row>
    <row r="19" spans="1:5">
      <c r="A19" s="7" t="s">
        <v>104</v>
      </c>
      <c r="B19" s="7">
        <v>2019</v>
      </c>
      <c r="C19" s="7">
        <v>3</v>
      </c>
      <c r="D19" s="10">
        <v>7000000000</v>
      </c>
      <c r="E19" s="9" t="s">
        <v>79</v>
      </c>
    </row>
    <row r="20" spans="1:5">
      <c r="A20" s="7" t="s">
        <v>105</v>
      </c>
      <c r="B20" s="7">
        <v>2013</v>
      </c>
      <c r="C20" s="7">
        <v>2</v>
      </c>
      <c r="D20" s="10">
        <v>7000000000</v>
      </c>
      <c r="E20" s="9" t="s">
        <v>79</v>
      </c>
    </row>
    <row r="21" spans="1:5">
      <c r="A21" s="7" t="s">
        <v>106</v>
      </c>
      <c r="B21" s="7">
        <v>2022</v>
      </c>
      <c r="C21" s="7">
        <v>2</v>
      </c>
      <c r="D21" s="10">
        <v>6600000000</v>
      </c>
      <c r="E21" s="9" t="s">
        <v>79</v>
      </c>
    </row>
    <row r="22" spans="1:5">
      <c r="A22" s="7" t="s">
        <v>107</v>
      </c>
      <c r="B22" s="7">
        <v>2012</v>
      </c>
      <c r="C22" s="7">
        <v>2</v>
      </c>
      <c r="D22" s="10">
        <v>6300000000</v>
      </c>
      <c r="E22" s="9" t="s">
        <v>79</v>
      </c>
    </row>
    <row r="23" spans="1:5">
      <c r="A23" s="7" t="s">
        <v>108</v>
      </c>
      <c r="B23" s="7">
        <v>2016</v>
      </c>
      <c r="C23" s="7">
        <v>2</v>
      </c>
      <c r="D23" s="10">
        <v>6000000000</v>
      </c>
      <c r="E23" s="9" t="s">
        <v>79</v>
      </c>
    </row>
    <row r="24" spans="1:5">
      <c r="A24" s="7" t="s">
        <v>111</v>
      </c>
      <c r="B24" s="7">
        <v>2013</v>
      </c>
      <c r="C24" s="7">
        <v>2</v>
      </c>
      <c r="D24" s="10">
        <v>5200000000</v>
      </c>
      <c r="E24" s="9" t="s">
        <v>79</v>
      </c>
    </row>
    <row r="25" spans="1:5">
      <c r="A25" s="7" t="s">
        <v>114</v>
      </c>
      <c r="B25" s="7">
        <v>2018</v>
      </c>
      <c r="C25" s="7">
        <v>3</v>
      </c>
      <c r="D25" s="10">
        <v>5000000000</v>
      </c>
      <c r="E25" s="9" t="s">
        <v>79</v>
      </c>
    </row>
    <row r="26" spans="1:5">
      <c r="A26" s="7" t="s">
        <v>115</v>
      </c>
      <c r="B26" s="7">
        <v>2017</v>
      </c>
      <c r="C26" s="7">
        <v>3</v>
      </c>
      <c r="D26" s="10">
        <v>5000000000</v>
      </c>
      <c r="E26" s="9" t="s">
        <v>79</v>
      </c>
    </row>
    <row r="27" spans="1:5">
      <c r="A27" s="7" t="s">
        <v>116</v>
      </c>
      <c r="B27" s="7">
        <v>2023</v>
      </c>
      <c r="C27" s="7">
        <v>2</v>
      </c>
      <c r="D27" s="10">
        <v>4700000000</v>
      </c>
      <c r="E27" s="9" t="s">
        <v>79</v>
      </c>
    </row>
    <row r="28" spans="1:5">
      <c r="A28" s="7" t="s">
        <v>117</v>
      </c>
      <c r="B28" s="7">
        <v>2016</v>
      </c>
      <c r="C28" s="7">
        <v>2</v>
      </c>
      <c r="D28" s="10">
        <v>4536510000</v>
      </c>
      <c r="E28" s="9" t="s">
        <v>79</v>
      </c>
    </row>
    <row r="29" spans="1:5">
      <c r="A29" s="7" t="s">
        <v>118</v>
      </c>
      <c r="B29" s="7">
        <v>2016</v>
      </c>
      <c r="C29" s="7">
        <v>3</v>
      </c>
      <c r="D29" s="10">
        <v>4500000000</v>
      </c>
      <c r="E29" s="9" t="s">
        <v>79</v>
      </c>
    </row>
    <row r="30" spans="1:5">
      <c r="A30" s="7" t="s">
        <v>119</v>
      </c>
      <c r="B30" s="7">
        <v>2012</v>
      </c>
      <c r="C30" s="7">
        <v>2</v>
      </c>
      <c r="D30" s="10">
        <v>4500000000</v>
      </c>
      <c r="E30" s="9" t="s">
        <v>79</v>
      </c>
    </row>
    <row r="31" spans="1:5">
      <c r="A31" s="7" t="s">
        <v>120</v>
      </c>
      <c r="B31" s="7">
        <v>2016</v>
      </c>
      <c r="C31" s="7">
        <v>4</v>
      </c>
      <c r="D31" s="10">
        <v>4500000000</v>
      </c>
      <c r="E31" s="9" t="s">
        <v>79</v>
      </c>
    </row>
    <row r="32" spans="1:5">
      <c r="A32" s="7" t="s">
        <v>122</v>
      </c>
      <c r="B32" s="7">
        <v>2011</v>
      </c>
      <c r="C32" s="7">
        <v>2</v>
      </c>
      <c r="D32" s="10">
        <v>4000000000</v>
      </c>
      <c r="E32" s="9" t="s">
        <v>79</v>
      </c>
    </row>
    <row r="33" spans="1:5">
      <c r="A33" s="7" t="s">
        <v>123</v>
      </c>
      <c r="B33" s="7">
        <v>2013</v>
      </c>
      <c r="C33" s="7">
        <v>2</v>
      </c>
      <c r="D33" s="10">
        <v>4000000000</v>
      </c>
      <c r="E33" s="9" t="s">
        <v>79</v>
      </c>
    </row>
    <row r="34" spans="1:5">
      <c r="A34" s="7" t="s">
        <v>124</v>
      </c>
      <c r="B34" s="7">
        <v>2022</v>
      </c>
      <c r="C34" s="7">
        <v>3</v>
      </c>
      <c r="D34" s="10">
        <v>4000000000</v>
      </c>
      <c r="E34" s="9" t="s">
        <v>79</v>
      </c>
    </row>
    <row r="35" spans="1:5">
      <c r="A35" s="7" t="s">
        <v>125</v>
      </c>
      <c r="B35" s="7">
        <v>2013</v>
      </c>
      <c r="C35" s="7">
        <v>4</v>
      </c>
      <c r="D35" s="10">
        <v>3700000000</v>
      </c>
      <c r="E35" s="9" t="s">
        <v>79</v>
      </c>
    </row>
    <row r="36" spans="1:5">
      <c r="A36" s="7" t="s">
        <v>126</v>
      </c>
      <c r="B36" s="7">
        <v>2011</v>
      </c>
      <c r="C36" s="7">
        <v>2</v>
      </c>
      <c r="D36" s="10">
        <v>3661000000</v>
      </c>
      <c r="E36" s="9" t="s">
        <v>79</v>
      </c>
    </row>
    <row r="37" spans="1:5">
      <c r="A37" s="7" t="s">
        <v>127</v>
      </c>
      <c r="B37" s="7">
        <v>2021</v>
      </c>
      <c r="C37" s="7">
        <v>1</v>
      </c>
      <c r="D37" s="10">
        <v>3500000000</v>
      </c>
      <c r="E37" s="9" t="s">
        <v>79</v>
      </c>
    </row>
    <row r="38" spans="1:5">
      <c r="A38" s="7" t="s">
        <v>128</v>
      </c>
      <c r="B38" s="7">
        <v>2014</v>
      </c>
      <c r="C38" s="7">
        <v>2</v>
      </c>
      <c r="D38" s="10">
        <v>3300000000</v>
      </c>
      <c r="E38" s="9" t="s">
        <v>79</v>
      </c>
    </row>
    <row r="39" spans="1:5">
      <c r="A39" s="7" t="s">
        <v>129</v>
      </c>
      <c r="B39" s="7">
        <v>2022</v>
      </c>
      <c r="C39" s="7">
        <v>5</v>
      </c>
      <c r="D39" s="10">
        <v>3300000000</v>
      </c>
      <c r="E39" s="9" t="s">
        <v>79</v>
      </c>
    </row>
    <row r="40" spans="1:5">
      <c r="A40" s="7" t="s">
        <v>131</v>
      </c>
      <c r="B40" s="7">
        <v>2008</v>
      </c>
      <c r="C40" s="7">
        <v>2</v>
      </c>
      <c r="D40" s="10">
        <v>3115000000</v>
      </c>
      <c r="E40" s="9" t="s">
        <v>79</v>
      </c>
    </row>
    <row r="41" spans="1:5">
      <c r="A41" s="7" t="s">
        <v>132</v>
      </c>
      <c r="B41" s="7">
        <v>2017</v>
      </c>
      <c r="C41" s="7">
        <v>2</v>
      </c>
      <c r="D41" s="10">
        <v>3000000000</v>
      </c>
      <c r="E41" s="9" t="s">
        <v>79</v>
      </c>
    </row>
    <row r="42" spans="1:5">
      <c r="A42" s="7" t="s">
        <v>133</v>
      </c>
      <c r="B42" s="7">
        <v>2009</v>
      </c>
      <c r="C42" s="7">
        <v>2</v>
      </c>
      <c r="D42" s="10">
        <v>2980000000</v>
      </c>
      <c r="E42" s="9" t="s">
        <v>79</v>
      </c>
    </row>
    <row r="43" spans="1:5">
      <c r="A43" s="7" t="s">
        <v>134</v>
      </c>
      <c r="B43" s="7">
        <v>2016</v>
      </c>
      <c r="C43" s="7">
        <v>4</v>
      </c>
      <c r="D43" s="10">
        <v>2850000000</v>
      </c>
      <c r="E43" s="9" t="s">
        <v>79</v>
      </c>
    </row>
    <row r="44" spans="1:5">
      <c r="A44" s="7" t="s">
        <v>135</v>
      </c>
      <c r="B44" s="7">
        <v>2012</v>
      </c>
      <c r="C44" s="7">
        <v>2</v>
      </c>
      <c r="D44" s="10">
        <v>2650000000</v>
      </c>
      <c r="E44" s="9" t="s">
        <v>79</v>
      </c>
    </row>
    <row r="45" spans="1:5">
      <c r="A45" s="7" t="s">
        <v>137</v>
      </c>
      <c r="B45" s="7">
        <v>2018</v>
      </c>
      <c r="C45" s="7">
        <v>1</v>
      </c>
      <c r="D45" s="10">
        <v>2500000000</v>
      </c>
      <c r="E45" s="9" t="s">
        <v>79</v>
      </c>
    </row>
    <row r="46" spans="1:5">
      <c r="A46" s="7" t="s">
        <v>138</v>
      </c>
      <c r="B46" s="7">
        <v>2018</v>
      </c>
      <c r="C46" s="7">
        <v>2</v>
      </c>
      <c r="D46" s="10">
        <v>2500000000</v>
      </c>
      <c r="E46" s="9" t="s">
        <v>79</v>
      </c>
    </row>
    <row r="47" spans="1:5">
      <c r="A47" s="7" t="s">
        <v>142</v>
      </c>
      <c r="B47" s="7">
        <v>2019</v>
      </c>
      <c r="C47" s="7">
        <v>4</v>
      </c>
      <c r="D47" s="10">
        <v>2150000000</v>
      </c>
      <c r="E47" s="9" t="s">
        <v>79</v>
      </c>
    </row>
    <row r="48" spans="1:5">
      <c r="A48" s="7" t="s">
        <v>143</v>
      </c>
      <c r="B48" s="7">
        <v>2017</v>
      </c>
      <c r="C48" s="7">
        <v>4</v>
      </c>
      <c r="D48" s="10">
        <v>2144190000</v>
      </c>
      <c r="E48" s="9" t="s">
        <v>79</v>
      </c>
    </row>
    <row r="49" spans="1:5">
      <c r="A49" s="7" t="s">
        <v>144</v>
      </c>
      <c r="B49" s="7">
        <v>2016</v>
      </c>
      <c r="C49" s="7">
        <v>2</v>
      </c>
      <c r="D49" s="10">
        <v>2100000000</v>
      </c>
      <c r="E49" s="9" t="s">
        <v>79</v>
      </c>
    </row>
    <row r="50" spans="1:5">
      <c r="A50" s="7" t="s">
        <v>146</v>
      </c>
      <c r="B50" s="7">
        <v>2017</v>
      </c>
      <c r="C50" s="7">
        <v>1</v>
      </c>
      <c r="D50" s="10">
        <v>2000000000</v>
      </c>
      <c r="E50" s="9" t="s">
        <v>79</v>
      </c>
    </row>
    <row r="51" spans="1:5">
      <c r="A51" s="7" t="s">
        <v>147</v>
      </c>
      <c r="B51" s="7">
        <v>2011</v>
      </c>
      <c r="C51" s="7">
        <v>3</v>
      </c>
      <c r="D51" s="10">
        <v>2000000000</v>
      </c>
      <c r="E51" s="9" t="s">
        <v>79</v>
      </c>
    </row>
    <row r="52" spans="1:5">
      <c r="A52" s="7" t="s">
        <v>149</v>
      </c>
      <c r="B52" s="7">
        <v>2018</v>
      </c>
      <c r="C52" s="7">
        <v>2</v>
      </c>
      <c r="D52" s="10">
        <v>2000000000</v>
      </c>
      <c r="E52" s="9" t="s">
        <v>79</v>
      </c>
    </row>
    <row r="53" spans="1:5">
      <c r="A53" s="7" t="s">
        <v>151</v>
      </c>
      <c r="B53" s="7">
        <v>2020</v>
      </c>
      <c r="C53" s="7">
        <v>2</v>
      </c>
      <c r="D53" s="10">
        <v>1900000000</v>
      </c>
      <c r="E53" s="9" t="s">
        <v>79</v>
      </c>
    </row>
    <row r="54" spans="1:5">
      <c r="A54" s="7" t="s">
        <v>153</v>
      </c>
      <c r="B54" s="7">
        <v>2014</v>
      </c>
      <c r="C54" s="7">
        <v>3</v>
      </c>
      <c r="D54" s="10">
        <v>1650000000</v>
      </c>
      <c r="E54" s="9" t="s">
        <v>79</v>
      </c>
    </row>
    <row r="55" spans="1:5">
      <c r="A55" s="7" t="s">
        <v>154</v>
      </c>
      <c r="B55" s="7">
        <v>2016</v>
      </c>
      <c r="C55" s="7">
        <v>2</v>
      </c>
      <c r="D55" s="10">
        <v>1645000000</v>
      </c>
      <c r="E55" s="9" t="s">
        <v>79</v>
      </c>
    </row>
    <row r="56" spans="1:5">
      <c r="A56" s="7" t="s">
        <v>155</v>
      </c>
      <c r="B56" s="7">
        <v>2014</v>
      </c>
      <c r="C56" s="7">
        <v>1</v>
      </c>
      <c r="D56" s="10">
        <v>1600000000</v>
      </c>
      <c r="E56" s="9" t="s">
        <v>79</v>
      </c>
    </row>
    <row r="57" spans="1:5">
      <c r="A57" s="7" t="s">
        <v>156</v>
      </c>
      <c r="B57" s="7">
        <v>2018</v>
      </c>
      <c r="C57" s="7">
        <v>2</v>
      </c>
      <c r="D57" s="10">
        <v>1600000000</v>
      </c>
      <c r="E57" s="9" t="s">
        <v>79</v>
      </c>
    </row>
    <row r="58" spans="1:5">
      <c r="A58" s="7" t="s">
        <v>157</v>
      </c>
      <c r="B58" s="7">
        <v>2015</v>
      </c>
      <c r="C58" s="7">
        <v>2</v>
      </c>
      <c r="D58" s="10">
        <v>1591990000</v>
      </c>
      <c r="E58" s="9" t="s">
        <v>79</v>
      </c>
    </row>
    <row r="59" spans="1:5">
      <c r="A59" s="7" t="s">
        <v>159</v>
      </c>
      <c r="B59" s="7">
        <v>2023</v>
      </c>
      <c r="C59" s="7">
        <v>2</v>
      </c>
      <c r="D59" s="10">
        <v>1500000000</v>
      </c>
      <c r="E59" s="9" t="s">
        <v>79</v>
      </c>
    </row>
    <row r="60" spans="1:5">
      <c r="A60" s="7" t="s">
        <v>161</v>
      </c>
      <c r="B60" s="7">
        <v>2014</v>
      </c>
      <c r="C60" s="7">
        <v>2</v>
      </c>
      <c r="D60" s="10">
        <v>1500000000</v>
      </c>
      <c r="E60" s="9" t="s">
        <v>79</v>
      </c>
    </row>
    <row r="61" spans="1:5">
      <c r="A61" s="7" t="s">
        <v>162</v>
      </c>
      <c r="B61" s="7">
        <v>2023</v>
      </c>
      <c r="C61" s="7">
        <v>3</v>
      </c>
      <c r="D61" s="10">
        <v>1500000000</v>
      </c>
      <c r="E61" s="9" t="s">
        <v>79</v>
      </c>
    </row>
    <row r="62" spans="1:5">
      <c r="A62" s="7" t="s">
        <v>164</v>
      </c>
      <c r="B62" s="7">
        <v>2012</v>
      </c>
      <c r="C62" s="7">
        <v>3</v>
      </c>
      <c r="D62" s="10">
        <v>1449220000</v>
      </c>
      <c r="E62" s="9" t="s">
        <v>79</v>
      </c>
    </row>
    <row r="63" spans="1:5">
      <c r="A63" s="7" t="s">
        <v>165</v>
      </c>
      <c r="B63" s="7">
        <v>2015</v>
      </c>
      <c r="C63" s="7">
        <v>2</v>
      </c>
      <c r="D63" s="10">
        <v>1440000000</v>
      </c>
      <c r="E63" s="9" t="s">
        <v>79</v>
      </c>
    </row>
    <row r="64" spans="1:5">
      <c r="A64" s="7" t="s">
        <v>166</v>
      </c>
      <c r="B64" s="7">
        <v>2019</v>
      </c>
      <c r="C64" s="7">
        <v>3</v>
      </c>
      <c r="D64" s="10">
        <v>1378000000</v>
      </c>
      <c r="E64" s="9" t="s">
        <v>79</v>
      </c>
    </row>
    <row r="65" spans="1:5">
      <c r="A65" s="7" t="s">
        <v>167</v>
      </c>
      <c r="B65" s="7">
        <v>2015</v>
      </c>
      <c r="C65" s="7">
        <v>2</v>
      </c>
      <c r="D65" s="10">
        <v>1320000000</v>
      </c>
      <c r="E65" s="9" t="s">
        <v>79</v>
      </c>
    </row>
    <row r="66" spans="1:5">
      <c r="A66" s="7" t="s">
        <v>168</v>
      </c>
      <c r="B66" s="7">
        <v>2015</v>
      </c>
      <c r="C66" s="7">
        <v>1</v>
      </c>
      <c r="D66" s="10">
        <v>1300000000</v>
      </c>
      <c r="E66" s="9" t="s">
        <v>79</v>
      </c>
    </row>
    <row r="67" spans="1:5">
      <c r="A67" s="7" t="s">
        <v>169</v>
      </c>
      <c r="B67" s="7">
        <v>2021</v>
      </c>
      <c r="C67" s="7">
        <v>2</v>
      </c>
      <c r="D67" s="10">
        <v>1300000000</v>
      </c>
      <c r="E67" s="9" t="s">
        <v>79</v>
      </c>
    </row>
    <row r="68" spans="1:5">
      <c r="A68" s="7" t="s">
        <v>171</v>
      </c>
      <c r="B68" s="7">
        <v>2012</v>
      </c>
      <c r="C68" s="7">
        <v>2</v>
      </c>
      <c r="D68" s="10">
        <v>1200000000</v>
      </c>
      <c r="E68" s="9" t="s">
        <v>79</v>
      </c>
    </row>
    <row r="69" spans="1:5">
      <c r="A69" s="7" t="s">
        <v>172</v>
      </c>
      <c r="B69" s="7">
        <v>2016</v>
      </c>
      <c r="C69" s="7">
        <v>2</v>
      </c>
      <c r="D69" s="10">
        <v>1200000000</v>
      </c>
      <c r="E69" s="9" t="s">
        <v>79</v>
      </c>
    </row>
    <row r="70" spans="1:5">
      <c r="A70" s="7" t="s">
        <v>174</v>
      </c>
      <c r="B70" s="7">
        <v>2012</v>
      </c>
      <c r="C70" s="7">
        <v>1</v>
      </c>
      <c r="D70" s="10">
        <v>1120000000</v>
      </c>
      <c r="E70" s="9" t="s">
        <v>79</v>
      </c>
    </row>
    <row r="71" spans="1:5">
      <c r="A71" s="7" t="s">
        <v>175</v>
      </c>
      <c r="B71" s="7">
        <v>2013</v>
      </c>
      <c r="C71" s="7">
        <v>3</v>
      </c>
      <c r="D71" s="10">
        <v>1100000000</v>
      </c>
      <c r="E71" s="9" t="s">
        <v>79</v>
      </c>
    </row>
    <row r="72" spans="1:5">
      <c r="A72" s="7" t="s">
        <v>176</v>
      </c>
      <c r="B72" s="7">
        <v>2016</v>
      </c>
      <c r="C72" s="7">
        <v>1</v>
      </c>
      <c r="D72" s="10">
        <v>1100000000</v>
      </c>
      <c r="E72" s="9" t="s">
        <v>79</v>
      </c>
    </row>
    <row r="73" spans="1:5">
      <c r="A73" s="7" t="s">
        <v>177</v>
      </c>
      <c r="B73" s="7">
        <v>2016</v>
      </c>
      <c r="C73" s="7">
        <v>1</v>
      </c>
      <c r="D73" s="10">
        <v>1100000000</v>
      </c>
      <c r="E73" s="9" t="s">
        <v>79</v>
      </c>
    </row>
    <row r="74" spans="1:5">
      <c r="A74" s="7" t="s">
        <v>179</v>
      </c>
      <c r="B74" s="7">
        <v>2016</v>
      </c>
      <c r="C74" s="7">
        <v>2</v>
      </c>
      <c r="D74" s="10">
        <v>1015000000</v>
      </c>
      <c r="E74" s="9" t="s">
        <v>79</v>
      </c>
    </row>
    <row r="75" spans="1:5">
      <c r="A75" s="7" t="s">
        <v>180</v>
      </c>
      <c r="B75" s="7">
        <v>2022</v>
      </c>
      <c r="C75" s="7">
        <v>3</v>
      </c>
      <c r="D75" s="10">
        <v>1000000000</v>
      </c>
      <c r="E75" s="9" t="s">
        <v>79</v>
      </c>
    </row>
    <row r="76" spans="1:5">
      <c r="A76" s="7" t="s">
        <v>181</v>
      </c>
      <c r="B76" s="7">
        <v>2017</v>
      </c>
      <c r="C76" s="7">
        <v>3</v>
      </c>
      <c r="D76" s="10">
        <v>1000000000</v>
      </c>
      <c r="E76" s="9" t="s">
        <v>79</v>
      </c>
    </row>
    <row r="77" spans="1:5">
      <c r="A77" s="7" t="s">
        <v>182</v>
      </c>
      <c r="B77" s="7">
        <v>2021</v>
      </c>
      <c r="C77" s="7">
        <v>2</v>
      </c>
      <c r="D77" s="10">
        <v>1000000000</v>
      </c>
      <c r="E77" s="9" t="s">
        <v>79</v>
      </c>
    </row>
    <row r="78" spans="1:5">
      <c r="A78" s="7" t="s">
        <v>183</v>
      </c>
      <c r="B78" s="7">
        <v>2015</v>
      </c>
      <c r="C78" s="7">
        <v>2</v>
      </c>
      <c r="D78" s="10">
        <v>1000000000</v>
      </c>
      <c r="E78" s="9" t="s">
        <v>79</v>
      </c>
    </row>
    <row r="79" spans="1:5">
      <c r="A79" s="7" t="s">
        <v>185</v>
      </c>
      <c r="B79" s="7">
        <v>2016</v>
      </c>
      <c r="C79" s="7">
        <v>2</v>
      </c>
      <c r="D79" s="10">
        <v>1000000000</v>
      </c>
      <c r="E79" s="9" t="s">
        <v>79</v>
      </c>
    </row>
    <row r="80" spans="1:5">
      <c r="A80" s="7" t="s">
        <v>187</v>
      </c>
      <c r="B80" s="7">
        <v>2024</v>
      </c>
      <c r="C80" s="7">
        <v>4</v>
      </c>
      <c r="D80" s="10">
        <v>1000000000</v>
      </c>
      <c r="E80" s="9" t="s">
        <v>79</v>
      </c>
    </row>
    <row r="81" spans="1:5">
      <c r="A81" s="7" t="s">
        <v>188</v>
      </c>
      <c r="B81" s="7">
        <v>2016</v>
      </c>
      <c r="C81" s="7">
        <v>4</v>
      </c>
      <c r="D81" s="10">
        <v>938360000</v>
      </c>
      <c r="E81" s="9" t="s">
        <v>79</v>
      </c>
    </row>
    <row r="82" spans="1:5">
      <c r="A82" s="7" t="s">
        <v>189</v>
      </c>
      <c r="B82" s="7">
        <v>2007</v>
      </c>
      <c r="C82" s="7">
        <v>2</v>
      </c>
      <c r="D82" s="10">
        <v>900000000</v>
      </c>
      <c r="E82" s="9" t="s">
        <v>79</v>
      </c>
    </row>
    <row r="83" spans="1:5">
      <c r="A83" s="7" t="s">
        <v>190</v>
      </c>
      <c r="B83" s="7">
        <v>2017</v>
      </c>
      <c r="C83" s="7">
        <v>3</v>
      </c>
      <c r="D83" s="10">
        <v>825000000</v>
      </c>
      <c r="E83" s="9" t="s">
        <v>79</v>
      </c>
    </row>
    <row r="84" spans="1:5">
      <c r="A84" s="7" t="s">
        <v>191</v>
      </c>
      <c r="B84" s="7">
        <v>2017</v>
      </c>
      <c r="C84" s="7">
        <v>3</v>
      </c>
      <c r="D84" s="10">
        <v>810000000</v>
      </c>
      <c r="E84" s="9" t="s">
        <v>79</v>
      </c>
    </row>
    <row r="85" spans="1:5">
      <c r="A85" s="7" t="s">
        <v>192</v>
      </c>
      <c r="B85" s="7">
        <v>2017</v>
      </c>
      <c r="C85" s="7">
        <v>3</v>
      </c>
      <c r="D85" s="10">
        <v>810000000</v>
      </c>
      <c r="E85" s="9" t="s">
        <v>79</v>
      </c>
    </row>
    <row r="86" spans="1:5">
      <c r="A86" s="7" t="s">
        <v>194</v>
      </c>
      <c r="B86" s="7">
        <v>2017</v>
      </c>
      <c r="C86" s="7">
        <v>3</v>
      </c>
      <c r="D86" s="10">
        <v>785000000</v>
      </c>
      <c r="E86" s="9" t="s">
        <v>79</v>
      </c>
    </row>
    <row r="87" spans="1:5">
      <c r="A87" s="7" t="s">
        <v>195</v>
      </c>
      <c r="B87" s="7">
        <v>2019</v>
      </c>
      <c r="C87" s="7">
        <v>1</v>
      </c>
      <c r="D87" s="10">
        <v>750000000</v>
      </c>
      <c r="E87" s="9" t="s">
        <v>79</v>
      </c>
    </row>
    <row r="88" spans="1:5">
      <c r="A88" s="7" t="s">
        <v>197</v>
      </c>
      <c r="B88" s="7">
        <v>2019</v>
      </c>
      <c r="C88" s="7">
        <v>3</v>
      </c>
      <c r="D88" s="10">
        <v>722860000</v>
      </c>
      <c r="E88" s="9" t="s">
        <v>79</v>
      </c>
    </row>
    <row r="89" spans="1:5">
      <c r="A89" s="7" t="s">
        <v>199</v>
      </c>
      <c r="B89" s="7">
        <v>2017</v>
      </c>
      <c r="C89" s="7">
        <v>1</v>
      </c>
      <c r="D89" s="10">
        <v>700000000</v>
      </c>
      <c r="E89" s="9" t="s">
        <v>79</v>
      </c>
    </row>
    <row r="90" spans="1:5">
      <c r="A90" s="7" t="s">
        <v>201</v>
      </c>
      <c r="B90" s="7">
        <v>2009</v>
      </c>
      <c r="C90" s="7">
        <v>2</v>
      </c>
      <c r="D90" s="10">
        <v>665000000</v>
      </c>
      <c r="E90" s="9" t="s">
        <v>79</v>
      </c>
    </row>
    <row r="91" spans="1:5">
      <c r="A91" s="7" t="s">
        <v>202</v>
      </c>
      <c r="B91" s="7">
        <v>2017</v>
      </c>
      <c r="C91" s="7">
        <v>2</v>
      </c>
      <c r="D91" s="10">
        <v>638290000</v>
      </c>
      <c r="E91" s="9" t="s">
        <v>79</v>
      </c>
    </row>
    <row r="92" spans="1:5">
      <c r="A92" s="7" t="s">
        <v>203</v>
      </c>
      <c r="B92" s="7">
        <v>2018</v>
      </c>
      <c r="C92" s="7">
        <v>2</v>
      </c>
      <c r="D92" s="10">
        <v>615000000</v>
      </c>
      <c r="E92" s="9" t="s">
        <v>79</v>
      </c>
    </row>
    <row r="93" spans="1:5">
      <c r="A93" s="7" t="s">
        <v>206</v>
      </c>
      <c r="B93" s="7">
        <v>2021</v>
      </c>
      <c r="C93" s="7">
        <v>2</v>
      </c>
      <c r="D93" s="10">
        <v>560000000</v>
      </c>
      <c r="E93" s="9" t="s">
        <v>79</v>
      </c>
    </row>
    <row r="94" spans="1:5">
      <c r="A94" s="7" t="s">
        <v>208</v>
      </c>
      <c r="B94" s="7">
        <v>2022</v>
      </c>
      <c r="C94" s="7">
        <v>7</v>
      </c>
      <c r="D94" s="10">
        <v>552000000</v>
      </c>
      <c r="E94" s="9" t="s">
        <v>79</v>
      </c>
    </row>
    <row r="95" spans="1:5">
      <c r="A95" s="7" t="s">
        <v>209</v>
      </c>
      <c r="B95" s="7">
        <v>2018</v>
      </c>
      <c r="C95" s="7">
        <v>3</v>
      </c>
      <c r="D95" s="10">
        <v>550000000</v>
      </c>
      <c r="E95" s="9" t="s">
        <v>79</v>
      </c>
    </row>
    <row r="96" spans="1:5">
      <c r="A96" s="7" t="s">
        <v>211</v>
      </c>
      <c r="B96" s="7">
        <v>2019</v>
      </c>
      <c r="C96" s="7">
        <v>2</v>
      </c>
      <c r="D96" s="10">
        <v>546000000</v>
      </c>
      <c r="E96" s="9" t="s">
        <v>79</v>
      </c>
    </row>
    <row r="97" spans="1:5">
      <c r="A97" s="7" t="s">
        <v>213</v>
      </c>
      <c r="B97" s="7">
        <v>2022</v>
      </c>
      <c r="C97" s="7">
        <v>4</v>
      </c>
      <c r="D97" s="10">
        <v>500000000</v>
      </c>
      <c r="E97" s="9" t="s">
        <v>79</v>
      </c>
    </row>
    <row r="98" spans="1:5">
      <c r="A98" s="7" t="s">
        <v>214</v>
      </c>
      <c r="B98" s="7">
        <v>2017</v>
      </c>
      <c r="C98" s="7">
        <v>3</v>
      </c>
      <c r="D98" s="10">
        <v>492790000</v>
      </c>
      <c r="E98" s="9" t="s">
        <v>79</v>
      </c>
    </row>
    <row r="99" spans="1:5">
      <c r="A99" s="7" t="s">
        <v>215</v>
      </c>
      <c r="B99" s="7">
        <v>2017</v>
      </c>
      <c r="C99" s="7">
        <v>3</v>
      </c>
      <c r="D99" s="10">
        <v>478000000</v>
      </c>
      <c r="E99" s="9" t="s">
        <v>79</v>
      </c>
    </row>
    <row r="100" spans="1:5">
      <c r="A100" s="7" t="s">
        <v>216</v>
      </c>
      <c r="B100" s="7">
        <v>2023</v>
      </c>
      <c r="C100" s="7">
        <v>2</v>
      </c>
      <c r="D100" s="10">
        <v>470000000</v>
      </c>
      <c r="E100" s="9" t="s">
        <v>79</v>
      </c>
    </row>
    <row r="101" spans="1:5">
      <c r="A101" s="7" t="s">
        <v>217</v>
      </c>
      <c r="B101" s="7">
        <v>2016</v>
      </c>
      <c r="C101" s="7">
        <v>2</v>
      </c>
      <c r="D101" s="10">
        <v>440000000</v>
      </c>
      <c r="E101" s="9" t="s">
        <v>79</v>
      </c>
    </row>
    <row r="102" spans="1:5">
      <c r="A102" s="7" t="s">
        <v>219</v>
      </c>
      <c r="B102" s="7">
        <v>2012</v>
      </c>
      <c r="C102" s="7">
        <v>3</v>
      </c>
      <c r="D102" s="10">
        <v>423000000</v>
      </c>
      <c r="E102" s="9" t="s">
        <v>79</v>
      </c>
    </row>
    <row r="103" spans="1:5">
      <c r="A103" s="7" t="s">
        <v>220</v>
      </c>
      <c r="B103" s="7">
        <v>2019</v>
      </c>
      <c r="C103" s="7">
        <v>2</v>
      </c>
      <c r="D103" s="10">
        <v>409000000</v>
      </c>
      <c r="E103" s="9" t="s">
        <v>79</v>
      </c>
    </row>
    <row r="104" spans="1:5">
      <c r="A104" s="8" t="s">
        <v>221</v>
      </c>
      <c r="B104" s="7">
        <v>2016</v>
      </c>
      <c r="C104" s="7">
        <v>4</v>
      </c>
      <c r="D104" s="10">
        <v>409000000</v>
      </c>
      <c r="E104" s="9" t="s">
        <v>79</v>
      </c>
    </row>
    <row r="105" spans="1:5">
      <c r="A105" s="7" t="s">
        <v>223</v>
      </c>
      <c r="B105" s="7">
        <v>2015</v>
      </c>
      <c r="C105" s="7">
        <v>2</v>
      </c>
      <c r="D105" s="10">
        <v>400000000</v>
      </c>
      <c r="E105" s="9" t="s">
        <v>79</v>
      </c>
    </row>
    <row r="106" spans="1:5">
      <c r="A106" s="7" t="s">
        <v>225</v>
      </c>
      <c r="B106" s="7">
        <v>2019</v>
      </c>
      <c r="C106" s="7">
        <v>2</v>
      </c>
      <c r="D106" s="10">
        <v>378000000</v>
      </c>
      <c r="E106" s="9" t="s">
        <v>79</v>
      </c>
    </row>
    <row r="107" spans="1:5">
      <c r="A107" s="7" t="s">
        <v>226</v>
      </c>
      <c r="B107" s="7">
        <v>2015</v>
      </c>
      <c r="C107" s="7">
        <v>2</v>
      </c>
      <c r="D107" s="10">
        <v>375000000</v>
      </c>
      <c r="E107" s="9" t="s">
        <v>79</v>
      </c>
    </row>
    <row r="108" spans="1:5">
      <c r="A108" s="7" t="s">
        <v>228</v>
      </c>
      <c r="B108" s="7">
        <v>2019</v>
      </c>
      <c r="C108" s="7">
        <v>3</v>
      </c>
      <c r="D108" s="10">
        <v>374000000</v>
      </c>
      <c r="E108" s="9" t="s">
        <v>79</v>
      </c>
    </row>
    <row r="109" spans="1:5">
      <c r="A109" s="7" t="s">
        <v>229</v>
      </c>
      <c r="B109" s="7">
        <v>2018</v>
      </c>
      <c r="C109" s="7">
        <v>2</v>
      </c>
      <c r="D109" s="10">
        <v>364000000</v>
      </c>
      <c r="E109" s="9" t="s">
        <v>79</v>
      </c>
    </row>
    <row r="110" spans="1:5">
      <c r="A110" s="7" t="s">
        <v>231</v>
      </c>
      <c r="B110" s="7">
        <v>2015</v>
      </c>
      <c r="C110" s="7">
        <v>1</v>
      </c>
      <c r="D110" s="10">
        <v>355000000</v>
      </c>
      <c r="E110" s="9" t="s">
        <v>79</v>
      </c>
    </row>
    <row r="111" spans="1:5">
      <c r="A111" s="7" t="s">
        <v>233</v>
      </c>
      <c r="B111" s="7">
        <v>2019</v>
      </c>
      <c r="C111" s="7">
        <v>4</v>
      </c>
      <c r="D111" s="10">
        <v>320000000</v>
      </c>
      <c r="E111" s="9" t="s">
        <v>79</v>
      </c>
    </row>
    <row r="112" spans="1:5">
      <c r="A112" s="7" t="s">
        <v>235</v>
      </c>
      <c r="B112" s="7">
        <v>2017</v>
      </c>
      <c r="C112" s="7">
        <v>3</v>
      </c>
      <c r="D112" s="10">
        <v>300000000</v>
      </c>
      <c r="E112" s="9" t="s">
        <v>79</v>
      </c>
    </row>
    <row r="113" spans="1:5">
      <c r="A113" s="7" t="s">
        <v>236</v>
      </c>
      <c r="B113" s="7">
        <v>2017</v>
      </c>
      <c r="C113" s="7">
        <v>1</v>
      </c>
      <c r="D113" s="10">
        <v>295000000</v>
      </c>
      <c r="E113" s="9" t="s">
        <v>79</v>
      </c>
    </row>
    <row r="114" spans="1:5">
      <c r="A114" s="7" t="s">
        <v>237</v>
      </c>
      <c r="B114" s="7">
        <v>2018</v>
      </c>
      <c r="C114" s="7">
        <v>2</v>
      </c>
      <c r="D114" s="10">
        <v>274000000</v>
      </c>
      <c r="E114" s="9" t="s">
        <v>79</v>
      </c>
    </row>
    <row r="115" spans="1:5">
      <c r="A115" s="7" t="s">
        <v>239</v>
      </c>
      <c r="B115" s="7">
        <v>2021</v>
      </c>
      <c r="C115" s="7">
        <v>3</v>
      </c>
      <c r="D115" s="10">
        <v>250000000</v>
      </c>
      <c r="E115" s="9" t="s">
        <v>79</v>
      </c>
    </row>
    <row r="116" spans="1:5">
      <c r="A116" s="7" t="s">
        <v>240</v>
      </c>
      <c r="B116" s="7">
        <v>2022</v>
      </c>
      <c r="C116" s="7">
        <v>3</v>
      </c>
      <c r="D116" s="10">
        <v>250000000</v>
      </c>
      <c r="E116" s="9" t="s">
        <v>79</v>
      </c>
    </row>
    <row r="117" spans="1:5">
      <c r="A117" s="7" t="s">
        <v>242</v>
      </c>
      <c r="B117" s="7">
        <v>2019</v>
      </c>
      <c r="C117" s="7">
        <v>5</v>
      </c>
      <c r="D117" s="10">
        <v>250000000</v>
      </c>
      <c r="E117" s="9" t="s">
        <v>79</v>
      </c>
    </row>
    <row r="118" spans="1:5">
      <c r="A118" s="7" t="s">
        <v>245</v>
      </c>
      <c r="B118" s="7">
        <v>2017</v>
      </c>
      <c r="C118" s="7">
        <v>3</v>
      </c>
      <c r="D118" s="10">
        <v>223000000</v>
      </c>
      <c r="E118" s="9" t="s">
        <v>79</v>
      </c>
    </row>
    <row r="119" spans="1:5">
      <c r="A119" s="7" t="s">
        <v>246</v>
      </c>
      <c r="B119" s="7">
        <v>2005</v>
      </c>
      <c r="C119" s="7">
        <v>2</v>
      </c>
      <c r="D119" s="10">
        <v>213500000</v>
      </c>
      <c r="E119" s="9" t="s">
        <v>79</v>
      </c>
    </row>
    <row r="120" spans="1:5">
      <c r="A120" s="7" t="s">
        <v>247</v>
      </c>
      <c r="B120" s="7">
        <v>2018</v>
      </c>
      <c r="C120" s="7">
        <v>2</v>
      </c>
      <c r="D120" s="10">
        <v>207710000</v>
      </c>
      <c r="E120" s="9" t="s">
        <v>79</v>
      </c>
    </row>
    <row r="121" spans="1:5">
      <c r="A121" s="7" t="s">
        <v>249</v>
      </c>
      <c r="B121" s="7">
        <v>2021</v>
      </c>
      <c r="C121" s="7">
        <v>2</v>
      </c>
      <c r="D121" s="10">
        <v>205000000</v>
      </c>
      <c r="E121" s="9" t="s">
        <v>79</v>
      </c>
    </row>
    <row r="122" spans="1:5">
      <c r="A122" s="7" t="s">
        <v>250</v>
      </c>
      <c r="B122" s="7">
        <v>2019</v>
      </c>
      <c r="C122" s="7">
        <v>3</v>
      </c>
      <c r="D122" s="10">
        <v>200000000</v>
      </c>
      <c r="E122" s="9" t="s">
        <v>79</v>
      </c>
    </row>
    <row r="123" spans="1:5">
      <c r="A123" s="7" t="s">
        <v>251</v>
      </c>
      <c r="B123" s="7">
        <v>2016</v>
      </c>
      <c r="C123" s="7">
        <v>2</v>
      </c>
      <c r="D123" s="10">
        <v>200000000</v>
      </c>
      <c r="E123" s="9" t="s">
        <v>79</v>
      </c>
    </row>
    <row r="124" spans="1:5">
      <c r="A124" s="7" t="s">
        <v>252</v>
      </c>
      <c r="B124" s="7">
        <v>2016</v>
      </c>
      <c r="C124" s="7">
        <v>3</v>
      </c>
      <c r="D124" s="10">
        <v>198000000</v>
      </c>
      <c r="E124" s="9" t="s">
        <v>79</v>
      </c>
    </row>
    <row r="125" spans="1:5">
      <c r="A125" s="7" t="s">
        <v>253</v>
      </c>
      <c r="B125" s="7">
        <v>2012</v>
      </c>
      <c r="C125" s="7">
        <v>1</v>
      </c>
      <c r="D125" s="10">
        <v>190000000</v>
      </c>
      <c r="E125" s="9" t="s">
        <v>79</v>
      </c>
    </row>
    <row r="126" spans="1:5">
      <c r="A126" s="7" t="s">
        <v>255</v>
      </c>
      <c r="B126" s="7">
        <v>2013</v>
      </c>
      <c r="C126" s="7">
        <v>3</v>
      </c>
      <c r="D126" s="10">
        <v>188000000</v>
      </c>
      <c r="E126" s="9" t="s">
        <v>79</v>
      </c>
    </row>
    <row r="127" spans="1:5">
      <c r="A127" s="7" t="s">
        <v>256</v>
      </c>
      <c r="B127" s="7">
        <v>2019</v>
      </c>
      <c r="C127" s="7">
        <v>2</v>
      </c>
      <c r="D127" s="10">
        <v>185420000</v>
      </c>
      <c r="E127" s="9" t="s">
        <v>79</v>
      </c>
    </row>
    <row r="128" spans="1:5">
      <c r="A128" s="7" t="s">
        <v>257</v>
      </c>
      <c r="B128" s="7">
        <v>2014</v>
      </c>
      <c r="C128" s="7">
        <v>3</v>
      </c>
      <c r="D128" s="10">
        <v>185000000</v>
      </c>
      <c r="E128" s="9" t="s">
        <v>79</v>
      </c>
    </row>
    <row r="129" spans="1:5">
      <c r="A129" s="7" t="s">
        <v>258</v>
      </c>
      <c r="B129" s="7">
        <v>2016</v>
      </c>
      <c r="C129" s="7">
        <v>2</v>
      </c>
      <c r="D129" s="10">
        <v>184000000</v>
      </c>
      <c r="E129" s="9" t="s">
        <v>79</v>
      </c>
    </row>
    <row r="130" spans="1:5">
      <c r="A130" s="7" t="s">
        <v>259</v>
      </c>
      <c r="B130" s="7">
        <v>2014</v>
      </c>
      <c r="C130" s="7">
        <v>2</v>
      </c>
      <c r="D130" s="10">
        <v>170030000</v>
      </c>
      <c r="E130" s="9" t="s">
        <v>79</v>
      </c>
    </row>
    <row r="131" spans="1:5">
      <c r="A131" s="7" t="s">
        <v>261</v>
      </c>
      <c r="B131" s="7">
        <v>2017</v>
      </c>
      <c r="C131" s="7">
        <v>2</v>
      </c>
      <c r="D131" s="10">
        <v>161500000</v>
      </c>
      <c r="E131" s="9" t="s">
        <v>79</v>
      </c>
    </row>
    <row r="132" spans="1:5">
      <c r="A132" s="7" t="s">
        <v>262</v>
      </c>
      <c r="B132" s="7">
        <v>2020</v>
      </c>
      <c r="C132" s="7">
        <v>2</v>
      </c>
      <c r="D132" s="10">
        <v>155000000</v>
      </c>
      <c r="E132" s="9" t="s">
        <v>79</v>
      </c>
    </row>
    <row r="133" spans="1:5">
      <c r="A133" s="7" t="s">
        <v>264</v>
      </c>
      <c r="B133" s="7">
        <v>2018</v>
      </c>
      <c r="C133" s="7">
        <v>3</v>
      </c>
      <c r="D133" s="10">
        <v>143950000</v>
      </c>
      <c r="E133" s="9" t="s">
        <v>79</v>
      </c>
    </row>
    <row r="134" spans="1:5">
      <c r="A134" s="7" t="s">
        <v>265</v>
      </c>
      <c r="B134" s="7">
        <v>2017</v>
      </c>
      <c r="C134" s="7">
        <v>4</v>
      </c>
      <c r="D134" s="10">
        <v>140000000</v>
      </c>
      <c r="E134" s="9" t="s">
        <v>79</v>
      </c>
    </row>
    <row r="135" spans="1:5">
      <c r="A135" s="7" t="s">
        <v>266</v>
      </c>
      <c r="B135" s="7">
        <v>2016</v>
      </c>
      <c r="C135" s="7">
        <v>1</v>
      </c>
      <c r="D135" s="10">
        <v>131200000</v>
      </c>
      <c r="E135" s="9" t="s">
        <v>79</v>
      </c>
    </row>
    <row r="136" spans="1:5">
      <c r="A136" s="7" t="s">
        <v>268</v>
      </c>
      <c r="B136" s="7">
        <v>2018</v>
      </c>
      <c r="C136" s="7">
        <v>2</v>
      </c>
      <c r="D136" s="10">
        <v>124500000</v>
      </c>
      <c r="E136" s="9" t="s">
        <v>79</v>
      </c>
    </row>
    <row r="137" spans="1:5">
      <c r="A137" s="7" t="s">
        <v>270</v>
      </c>
      <c r="B137" s="7">
        <v>2017</v>
      </c>
      <c r="C137" s="7">
        <v>2</v>
      </c>
      <c r="D137" s="10">
        <v>114000000</v>
      </c>
      <c r="E137" s="9" t="s">
        <v>79</v>
      </c>
    </row>
    <row r="138" spans="1:5">
      <c r="A138" s="7" t="s">
        <v>271</v>
      </c>
      <c r="B138" s="7">
        <v>2017</v>
      </c>
      <c r="C138" s="7">
        <v>2</v>
      </c>
      <c r="D138" s="10">
        <v>110000000</v>
      </c>
      <c r="E138" s="9" t="s">
        <v>79</v>
      </c>
    </row>
    <row r="139" spans="1:5">
      <c r="A139" s="7" t="s">
        <v>272</v>
      </c>
      <c r="B139" s="7">
        <v>2017</v>
      </c>
      <c r="C139" s="7">
        <v>2</v>
      </c>
      <c r="D139" s="10">
        <v>109000000</v>
      </c>
      <c r="E139" s="9" t="s">
        <v>79</v>
      </c>
    </row>
    <row r="140" spans="1:5">
      <c r="A140" s="7" t="s">
        <v>273</v>
      </c>
      <c r="B140" s="7">
        <v>2017</v>
      </c>
      <c r="C140" s="7">
        <v>2</v>
      </c>
      <c r="D140" s="10">
        <v>102000000</v>
      </c>
      <c r="E140" s="9" t="s">
        <v>79</v>
      </c>
    </row>
    <row r="141" spans="1:5">
      <c r="A141" s="7" t="s">
        <v>274</v>
      </c>
      <c r="B141" s="7">
        <v>2016</v>
      </c>
      <c r="C141" s="7">
        <v>1</v>
      </c>
      <c r="D141" s="10">
        <v>101000000</v>
      </c>
      <c r="E141" s="9" t="s">
        <v>79</v>
      </c>
    </row>
    <row r="142" spans="1:5">
      <c r="A142" s="7" t="s">
        <v>275</v>
      </c>
      <c r="B142" s="7">
        <v>2013</v>
      </c>
      <c r="C142" s="7">
        <v>2</v>
      </c>
      <c r="D142" s="10">
        <v>100000000</v>
      </c>
      <c r="E142" s="9" t="s">
        <v>79</v>
      </c>
    </row>
    <row r="143" spans="1:5">
      <c r="A143" s="7" t="s">
        <v>278</v>
      </c>
      <c r="B143" s="7">
        <v>2015</v>
      </c>
      <c r="C143" s="7">
        <v>2</v>
      </c>
      <c r="D143" s="10">
        <v>100000000</v>
      </c>
      <c r="E143" s="9" t="s">
        <v>79</v>
      </c>
    </row>
    <row r="144" spans="1:5">
      <c r="A144" s="7" t="s">
        <v>281</v>
      </c>
      <c r="B144" s="7">
        <v>2012</v>
      </c>
      <c r="C144" s="7">
        <v>1</v>
      </c>
      <c r="D144" s="10">
        <v>90500000</v>
      </c>
      <c r="E144" s="9" t="s">
        <v>79</v>
      </c>
    </row>
    <row r="145" spans="1:5">
      <c r="A145" s="7" t="s">
        <v>282</v>
      </c>
      <c r="B145" s="7">
        <v>2014</v>
      </c>
      <c r="C145" s="7">
        <v>5</v>
      </c>
      <c r="D145" s="10">
        <v>90000000</v>
      </c>
      <c r="E145" s="9" t="s">
        <v>79</v>
      </c>
    </row>
    <row r="146" spans="1:5">
      <c r="A146" s="7" t="s">
        <v>284</v>
      </c>
      <c r="B146" s="7">
        <v>2017</v>
      </c>
      <c r="C146" s="7">
        <v>3</v>
      </c>
      <c r="D146" s="10">
        <v>86000000</v>
      </c>
      <c r="E146" s="9" t="s">
        <v>79</v>
      </c>
    </row>
    <row r="147" spans="1:5">
      <c r="A147" s="7" t="s">
        <v>285</v>
      </c>
      <c r="B147" s="7">
        <v>2017</v>
      </c>
      <c r="C147" s="7">
        <v>1</v>
      </c>
      <c r="D147" s="10">
        <v>81170000</v>
      </c>
      <c r="E147" s="9" t="s">
        <v>79</v>
      </c>
    </row>
    <row r="148" spans="1:5">
      <c r="A148" s="7" t="s">
        <v>286</v>
      </c>
      <c r="B148" s="7">
        <v>2017</v>
      </c>
      <c r="C148" s="7">
        <v>3</v>
      </c>
      <c r="D148" s="10">
        <v>75200000</v>
      </c>
      <c r="E148" s="9" t="s">
        <v>79</v>
      </c>
    </row>
    <row r="149" spans="1:5">
      <c r="A149" s="7" t="s">
        <v>287</v>
      </c>
      <c r="B149" s="7">
        <v>2009</v>
      </c>
      <c r="C149" s="7">
        <v>2</v>
      </c>
      <c r="D149" s="10">
        <v>73500000</v>
      </c>
      <c r="E149" s="9" t="s">
        <v>79</v>
      </c>
    </row>
    <row r="150" spans="1:5">
      <c r="A150" s="7" t="s">
        <v>289</v>
      </c>
      <c r="B150" s="7">
        <v>2016</v>
      </c>
      <c r="C150" s="7">
        <v>2</v>
      </c>
      <c r="D150" s="10">
        <v>71000000</v>
      </c>
      <c r="E150" s="9" t="s">
        <v>79</v>
      </c>
    </row>
    <row r="151" spans="1:5">
      <c r="A151" s="7" t="s">
        <v>290</v>
      </c>
      <c r="B151" s="7">
        <v>2015</v>
      </c>
      <c r="C151" s="7">
        <v>1</v>
      </c>
      <c r="D151" s="10">
        <v>69810000</v>
      </c>
      <c r="E151" s="9" t="s">
        <v>79</v>
      </c>
    </row>
    <row r="152" spans="1:5">
      <c r="A152" s="7" t="s">
        <v>291</v>
      </c>
      <c r="B152" s="7">
        <v>2020</v>
      </c>
      <c r="C152" s="7">
        <v>3</v>
      </c>
      <c r="D152" s="10">
        <v>67030000</v>
      </c>
      <c r="E152" s="9" t="s">
        <v>79</v>
      </c>
    </row>
    <row r="153" spans="1:5">
      <c r="A153" s="7" t="s">
        <v>292</v>
      </c>
      <c r="B153" s="7">
        <v>2018</v>
      </c>
      <c r="C153" s="7">
        <v>2</v>
      </c>
      <c r="D153" s="10">
        <v>65000000</v>
      </c>
      <c r="E153" s="9" t="s">
        <v>79</v>
      </c>
    </row>
    <row r="154" spans="1:5">
      <c r="A154" s="7" t="s">
        <v>293</v>
      </c>
      <c r="B154" s="7">
        <v>2016</v>
      </c>
      <c r="C154" s="7">
        <v>5</v>
      </c>
      <c r="D154" s="10">
        <v>54000000</v>
      </c>
      <c r="E154" s="9" t="s">
        <v>79</v>
      </c>
    </row>
    <row r="155" spans="1:5">
      <c r="A155" s="7" t="s">
        <v>295</v>
      </c>
      <c r="B155" s="7">
        <v>2016</v>
      </c>
      <c r="C155" s="7">
        <v>2</v>
      </c>
      <c r="D155" s="10">
        <v>32720000</v>
      </c>
      <c r="E155" s="9" t="s">
        <v>79</v>
      </c>
    </row>
    <row r="156" spans="1:5">
      <c r="A156" s="7" t="s">
        <v>298</v>
      </c>
      <c r="B156" s="7">
        <v>2020</v>
      </c>
      <c r="C156" s="7">
        <v>2</v>
      </c>
      <c r="D156" s="10">
        <v>24000000</v>
      </c>
      <c r="E156" s="9" t="s">
        <v>79</v>
      </c>
    </row>
    <row r="157" spans="1:5">
      <c r="A157" s="7" t="s">
        <v>299</v>
      </c>
      <c r="B157" s="7">
        <v>2014</v>
      </c>
      <c r="C157" s="7">
        <v>2</v>
      </c>
      <c r="D157" s="10">
        <v>23860000</v>
      </c>
      <c r="E157" s="9" t="s">
        <v>79</v>
      </c>
    </row>
    <row r="158" spans="1:5">
      <c r="A158" s="7" t="s">
        <v>300</v>
      </c>
      <c r="B158" s="7">
        <v>2016</v>
      </c>
      <c r="C158" s="7">
        <v>2</v>
      </c>
      <c r="D158" s="10">
        <v>21830000</v>
      </c>
      <c r="E158" s="9" t="s">
        <v>79</v>
      </c>
    </row>
    <row r="159" spans="1:5">
      <c r="A159" s="7" t="s">
        <v>302</v>
      </c>
      <c r="B159" s="7">
        <v>2013</v>
      </c>
      <c r="C159" s="7">
        <v>2</v>
      </c>
      <c r="D159" s="10">
        <v>18200000</v>
      </c>
      <c r="E159" s="9" t="s">
        <v>79</v>
      </c>
    </row>
    <row r="160" spans="1:5">
      <c r="A160" s="7" t="s">
        <v>303</v>
      </c>
      <c r="B160" s="7">
        <v>2017</v>
      </c>
      <c r="C160" s="7">
        <v>2</v>
      </c>
      <c r="D160" s="10">
        <v>10000000</v>
      </c>
      <c r="E160" s="9" t="s">
        <v>79</v>
      </c>
    </row>
    <row r="161" spans="1:9">
      <c r="A161" s="7" t="s">
        <v>304</v>
      </c>
      <c r="B161" s="7">
        <v>2019</v>
      </c>
      <c r="C161" s="7">
        <v>2</v>
      </c>
      <c r="D161" s="10">
        <v>10000000</v>
      </c>
      <c r="E161" s="9" t="s">
        <v>79</v>
      </c>
    </row>
    <row r="162" spans="1:9">
      <c r="A162" s="7" t="s">
        <v>306</v>
      </c>
      <c r="B162" s="7">
        <v>2015</v>
      </c>
      <c r="C162" s="7">
        <v>1</v>
      </c>
      <c r="D162" s="7"/>
      <c r="E162" s="9" t="s">
        <v>79</v>
      </c>
    </row>
    <row r="163" spans="1:9">
      <c r="A163" s="7" t="s">
        <v>307</v>
      </c>
      <c r="B163" s="7">
        <v>2021</v>
      </c>
      <c r="C163" s="7">
        <v>5</v>
      </c>
      <c r="D163" s="7"/>
      <c r="E163" s="9" t="s">
        <v>79</v>
      </c>
    </row>
    <row r="164" spans="1:9">
      <c r="A164" s="7" t="s">
        <v>308</v>
      </c>
      <c r="B164" s="7">
        <v>2018</v>
      </c>
      <c r="C164" s="7">
        <v>2</v>
      </c>
      <c r="D164" s="7"/>
      <c r="E164" s="9" t="s">
        <v>79</v>
      </c>
    </row>
    <row r="165" spans="1:9">
      <c r="A165" s="7" t="s">
        <v>312</v>
      </c>
      <c r="B165" s="7">
        <v>2021</v>
      </c>
      <c r="C165" s="7">
        <v>1</v>
      </c>
      <c r="D165" s="7"/>
      <c r="E165" s="9" t="s">
        <v>79</v>
      </c>
    </row>
    <row r="166" spans="1:9">
      <c r="A166" s="7" t="s">
        <v>82</v>
      </c>
      <c r="F166" s="7">
        <v>2022</v>
      </c>
      <c r="G166" s="7">
        <v>1</v>
      </c>
      <c r="H166" s="10">
        <v>39000000000</v>
      </c>
      <c r="I166" s="9" t="s">
        <v>84</v>
      </c>
    </row>
    <row r="167" spans="1:9">
      <c r="A167" s="7" t="s">
        <v>85</v>
      </c>
      <c r="F167" s="7">
        <v>2017</v>
      </c>
      <c r="G167" s="7">
        <v>5</v>
      </c>
      <c r="H167" s="10">
        <v>30500000000</v>
      </c>
      <c r="I167" s="9" t="s">
        <v>84</v>
      </c>
    </row>
    <row r="168" spans="1:9">
      <c r="A168" s="7" t="s">
        <v>86</v>
      </c>
      <c r="F168" s="7">
        <v>2016</v>
      </c>
      <c r="G168" s="7">
        <v>2</v>
      </c>
      <c r="H168" s="10">
        <v>29187630000</v>
      </c>
      <c r="I168" s="9" t="s">
        <v>84</v>
      </c>
    </row>
    <row r="169" spans="1:9">
      <c r="A169" s="7" t="s">
        <v>93</v>
      </c>
      <c r="F169" s="7">
        <v>2015</v>
      </c>
      <c r="G169" s="7">
        <v>2</v>
      </c>
      <c r="H169" s="10">
        <v>11508540000</v>
      </c>
      <c r="I169" s="9" t="s">
        <v>84</v>
      </c>
    </row>
    <row r="170" spans="1:9">
      <c r="A170" s="7" t="s">
        <v>94</v>
      </c>
      <c r="F170" s="7">
        <v>2018</v>
      </c>
      <c r="G170" s="7">
        <v>2</v>
      </c>
      <c r="H170" s="10">
        <v>10000000000</v>
      </c>
      <c r="I170" s="9" t="s">
        <v>84</v>
      </c>
    </row>
    <row r="171" spans="1:9">
      <c r="A171" s="7" t="s">
        <v>96</v>
      </c>
      <c r="F171" s="7">
        <v>2023</v>
      </c>
      <c r="G171" s="7">
        <v>2</v>
      </c>
      <c r="H171" s="10">
        <v>10000000000</v>
      </c>
      <c r="I171" s="9" t="s">
        <v>84</v>
      </c>
    </row>
    <row r="172" spans="1:9">
      <c r="A172" s="7" t="s">
        <v>109</v>
      </c>
      <c r="F172" s="7">
        <v>2018</v>
      </c>
      <c r="G172" s="7">
        <v>2</v>
      </c>
      <c r="H172" s="10">
        <v>5300000000</v>
      </c>
      <c r="I172" s="9" t="s">
        <v>84</v>
      </c>
    </row>
    <row r="173" spans="1:9">
      <c r="A173" s="7" t="s">
        <v>110</v>
      </c>
      <c r="F173" s="7">
        <v>2015</v>
      </c>
      <c r="G173" s="7">
        <v>3</v>
      </c>
      <c r="H173" s="10">
        <v>5300000000</v>
      </c>
      <c r="I173" s="9" t="s">
        <v>84</v>
      </c>
    </row>
    <row r="174" spans="1:9">
      <c r="A174" s="7" t="s">
        <v>112</v>
      </c>
      <c r="F174" s="7">
        <v>2018</v>
      </c>
      <c r="G174" s="7">
        <v>2</v>
      </c>
      <c r="H174" s="10">
        <v>5100000000</v>
      </c>
      <c r="I174" s="9" t="s">
        <v>84</v>
      </c>
    </row>
    <row r="175" spans="1:9">
      <c r="A175" s="7" t="s">
        <v>113</v>
      </c>
      <c r="F175" s="7">
        <v>2022</v>
      </c>
      <c r="G175" s="7">
        <v>2</v>
      </c>
      <c r="H175" s="10">
        <v>5000000000</v>
      </c>
      <c r="I175" s="9" t="s">
        <v>84</v>
      </c>
    </row>
    <row r="176" spans="1:9">
      <c r="A176" s="7" t="s">
        <v>121</v>
      </c>
      <c r="F176" s="7">
        <v>2009</v>
      </c>
      <c r="G176" s="7">
        <v>1</v>
      </c>
      <c r="H176" s="10">
        <v>4100000000</v>
      </c>
      <c r="I176" s="9" t="s">
        <v>84</v>
      </c>
    </row>
    <row r="177" spans="1:9">
      <c r="A177" s="7" t="s">
        <v>130</v>
      </c>
      <c r="F177" s="7">
        <v>2014</v>
      </c>
      <c r="G177" s="7">
        <v>2</v>
      </c>
      <c r="H177" s="10">
        <v>3200000000</v>
      </c>
      <c r="I177" s="9" t="s">
        <v>84</v>
      </c>
    </row>
    <row r="178" spans="1:9">
      <c r="A178" s="7" t="s">
        <v>136</v>
      </c>
      <c r="F178" s="7">
        <v>2013</v>
      </c>
      <c r="G178" s="7">
        <v>3</v>
      </c>
      <c r="H178" s="10">
        <v>2505000000</v>
      </c>
      <c r="I178" s="9" t="s">
        <v>84</v>
      </c>
    </row>
    <row r="179" spans="1:9">
      <c r="A179" s="7" t="s">
        <v>139</v>
      </c>
      <c r="F179" s="7">
        <v>2012</v>
      </c>
      <c r="G179" s="7">
        <v>2</v>
      </c>
      <c r="H179" s="10">
        <v>2500000000</v>
      </c>
      <c r="I179" s="9" t="s">
        <v>84</v>
      </c>
    </row>
    <row r="180" spans="1:9">
      <c r="A180" s="7" t="s">
        <v>140</v>
      </c>
      <c r="F180" s="7">
        <v>2021</v>
      </c>
      <c r="G180" s="7">
        <v>2</v>
      </c>
      <c r="H180" s="10">
        <v>2400000000</v>
      </c>
      <c r="I180" s="9" t="s">
        <v>84</v>
      </c>
    </row>
    <row r="181" spans="1:9">
      <c r="A181" s="7" t="s">
        <v>141</v>
      </c>
      <c r="F181" s="7">
        <v>2014</v>
      </c>
      <c r="G181" s="7">
        <v>1</v>
      </c>
      <c r="H181" s="10">
        <v>2330000000</v>
      </c>
      <c r="I181" s="9" t="s">
        <v>84</v>
      </c>
    </row>
    <row r="182" spans="1:9">
      <c r="A182" s="7" t="s">
        <v>145</v>
      </c>
      <c r="F182" s="7">
        <v>2011</v>
      </c>
      <c r="G182" s="7">
        <v>3</v>
      </c>
      <c r="H182" s="10">
        <v>2010080000</v>
      </c>
      <c r="I182" s="9" t="s">
        <v>84</v>
      </c>
    </row>
    <row r="183" spans="1:9">
      <c r="A183" s="7" t="s">
        <v>150</v>
      </c>
      <c r="F183" s="7">
        <v>2023</v>
      </c>
      <c r="G183" s="7">
        <v>3</v>
      </c>
      <c r="H183" s="10">
        <v>2000000000</v>
      </c>
      <c r="I183" s="9" t="s">
        <v>84</v>
      </c>
    </row>
    <row r="184" spans="1:9">
      <c r="A184" s="7" t="s">
        <v>152</v>
      </c>
      <c r="F184" s="7">
        <v>2017</v>
      </c>
      <c r="G184" s="7">
        <v>3</v>
      </c>
      <c r="H184" s="10">
        <v>1700000000</v>
      </c>
      <c r="I184" s="9" t="s">
        <v>84</v>
      </c>
    </row>
    <row r="185" spans="1:9">
      <c r="A185" s="7" t="s">
        <v>158</v>
      </c>
      <c r="F185" s="7">
        <v>2013</v>
      </c>
      <c r="G185" s="7">
        <v>4</v>
      </c>
      <c r="H185" s="10">
        <v>1546000000</v>
      </c>
      <c r="I185" s="9" t="s">
        <v>84</v>
      </c>
    </row>
    <row r="186" spans="1:9">
      <c r="A186" s="7" t="s">
        <v>160</v>
      </c>
      <c r="F186" s="7">
        <v>2021</v>
      </c>
      <c r="G186" s="7">
        <v>3</v>
      </c>
      <c r="H186" s="10">
        <v>1500000000</v>
      </c>
      <c r="I186" s="9" t="s">
        <v>84</v>
      </c>
    </row>
    <row r="187" spans="1:9">
      <c r="A187" s="7" t="s">
        <v>170</v>
      </c>
      <c r="F187" s="7">
        <v>2015</v>
      </c>
      <c r="G187" s="7">
        <v>5</v>
      </c>
      <c r="H187" s="10">
        <v>1300000000</v>
      </c>
      <c r="I187" s="9" t="s">
        <v>84</v>
      </c>
    </row>
    <row r="188" spans="1:9">
      <c r="A188" s="7" t="s">
        <v>173</v>
      </c>
      <c r="F188" s="7">
        <v>2017</v>
      </c>
      <c r="G188" s="7">
        <v>7</v>
      </c>
      <c r="H188" s="10">
        <v>1150000000</v>
      </c>
      <c r="I188" s="9" t="s">
        <v>84</v>
      </c>
    </row>
    <row r="189" spans="1:9">
      <c r="A189" s="7" t="s">
        <v>184</v>
      </c>
      <c r="F189" s="7">
        <v>2022</v>
      </c>
      <c r="G189" s="7">
        <v>2</v>
      </c>
      <c r="H189" s="10">
        <v>1000000000</v>
      </c>
      <c r="I189" s="9" t="s">
        <v>84</v>
      </c>
    </row>
    <row r="190" spans="1:9">
      <c r="A190" s="7" t="s">
        <v>186</v>
      </c>
      <c r="F190" s="7">
        <v>2016</v>
      </c>
      <c r="G190" s="7">
        <v>2</v>
      </c>
      <c r="H190" s="10">
        <v>1000000000</v>
      </c>
      <c r="I190" s="9" t="s">
        <v>84</v>
      </c>
    </row>
    <row r="191" spans="1:9">
      <c r="A191" s="7" t="s">
        <v>193</v>
      </c>
      <c r="F191" s="7">
        <v>2013</v>
      </c>
      <c r="G191" s="7">
        <v>1</v>
      </c>
      <c r="H191" s="10">
        <v>800000000</v>
      </c>
      <c r="I191" s="9" t="s">
        <v>84</v>
      </c>
    </row>
    <row r="192" spans="1:9">
      <c r="A192" s="7" t="s">
        <v>196</v>
      </c>
      <c r="F192" s="7">
        <v>2017</v>
      </c>
      <c r="G192" s="7">
        <v>3</v>
      </c>
      <c r="H192" s="10">
        <v>734000000</v>
      </c>
      <c r="I192" s="9" t="s">
        <v>84</v>
      </c>
    </row>
    <row r="193" spans="1:9">
      <c r="A193" s="7" t="s">
        <v>198</v>
      </c>
      <c r="F193" s="7">
        <v>2020</v>
      </c>
      <c r="G193" s="7">
        <v>1</v>
      </c>
      <c r="H193" s="10">
        <v>700000000</v>
      </c>
      <c r="I193" s="9" t="s">
        <v>84</v>
      </c>
    </row>
    <row r="194" spans="1:9">
      <c r="A194" s="7" t="s">
        <v>200</v>
      </c>
      <c r="F194" s="7">
        <v>2017</v>
      </c>
      <c r="G194" s="7">
        <v>1</v>
      </c>
      <c r="H194" s="10">
        <v>700000000</v>
      </c>
      <c r="I194" s="9" t="s">
        <v>84</v>
      </c>
    </row>
    <row r="195" spans="1:9">
      <c r="A195" s="7" t="s">
        <v>204</v>
      </c>
      <c r="F195" s="7">
        <v>2019</v>
      </c>
      <c r="G195" s="7">
        <v>2</v>
      </c>
      <c r="H195" s="10">
        <v>575000000</v>
      </c>
      <c r="I195" s="9" t="s">
        <v>84</v>
      </c>
    </row>
    <row r="196" spans="1:9">
      <c r="A196" s="7" t="s">
        <v>205</v>
      </c>
      <c r="F196" s="7">
        <v>2018</v>
      </c>
      <c r="G196" s="7">
        <v>1</v>
      </c>
      <c r="H196" s="10">
        <v>562000000</v>
      </c>
      <c r="I196" s="9" t="s">
        <v>84</v>
      </c>
    </row>
    <row r="197" spans="1:9">
      <c r="A197" s="7" t="s">
        <v>207</v>
      </c>
      <c r="F197" s="7">
        <v>2017</v>
      </c>
      <c r="G197" s="7">
        <v>1</v>
      </c>
      <c r="H197" s="10">
        <v>553700000</v>
      </c>
      <c r="I197" s="9" t="s">
        <v>84</v>
      </c>
    </row>
    <row r="198" spans="1:9">
      <c r="A198" s="7" t="s">
        <v>210</v>
      </c>
      <c r="F198" s="7">
        <v>2016</v>
      </c>
      <c r="G198" s="7">
        <v>1</v>
      </c>
      <c r="H198" s="10">
        <v>550000000</v>
      </c>
      <c r="I198" s="9" t="s">
        <v>84</v>
      </c>
    </row>
    <row r="199" spans="1:9">
      <c r="A199" s="7" t="s">
        <v>212</v>
      </c>
      <c r="F199" s="7">
        <v>2014</v>
      </c>
      <c r="G199" s="7">
        <v>1</v>
      </c>
      <c r="H199" s="10">
        <v>514930000</v>
      </c>
      <c r="I199" s="9" t="s">
        <v>84</v>
      </c>
    </row>
    <row r="200" spans="1:9">
      <c r="A200" s="7" t="s">
        <v>218</v>
      </c>
      <c r="F200" s="7">
        <v>2019</v>
      </c>
      <c r="G200" s="7">
        <v>2</v>
      </c>
      <c r="H200" s="10">
        <v>424030000</v>
      </c>
      <c r="I200" s="9" t="s">
        <v>84</v>
      </c>
    </row>
    <row r="201" spans="1:9">
      <c r="A201" s="7" t="s">
        <v>222</v>
      </c>
      <c r="F201" s="7">
        <v>2013</v>
      </c>
      <c r="G201" s="7">
        <v>2</v>
      </c>
      <c r="H201" s="10">
        <v>402000000</v>
      </c>
      <c r="I201" s="9" t="s">
        <v>84</v>
      </c>
    </row>
    <row r="202" spans="1:9">
      <c r="A202" s="7" t="s">
        <v>224</v>
      </c>
      <c r="F202" s="7">
        <v>2015</v>
      </c>
      <c r="G202" s="7">
        <v>2</v>
      </c>
      <c r="H202" s="10">
        <v>385000000</v>
      </c>
      <c r="I202" s="9" t="s">
        <v>84</v>
      </c>
    </row>
    <row r="203" spans="1:9">
      <c r="A203" s="7" t="s">
        <v>227</v>
      </c>
      <c r="F203" s="7">
        <v>2015</v>
      </c>
      <c r="G203" s="7">
        <v>1</v>
      </c>
      <c r="H203" s="10">
        <v>375000000</v>
      </c>
      <c r="I203" s="9" t="s">
        <v>84</v>
      </c>
    </row>
    <row r="204" spans="1:9">
      <c r="A204" s="7" t="s">
        <v>230</v>
      </c>
      <c r="F204" s="7">
        <v>2017</v>
      </c>
      <c r="G204" s="7">
        <v>2</v>
      </c>
      <c r="H204" s="10">
        <v>360000000</v>
      </c>
      <c r="I204" s="9" t="s">
        <v>84</v>
      </c>
    </row>
    <row r="205" spans="1:9">
      <c r="A205" s="7" t="s">
        <v>232</v>
      </c>
      <c r="F205" s="7">
        <v>2018</v>
      </c>
      <c r="G205" s="7">
        <v>1</v>
      </c>
      <c r="H205" s="10">
        <v>330000000</v>
      </c>
      <c r="I205" s="9" t="s">
        <v>84</v>
      </c>
    </row>
    <row r="206" spans="1:9">
      <c r="A206" s="7" t="s">
        <v>234</v>
      </c>
      <c r="F206" s="7">
        <v>2017</v>
      </c>
      <c r="G206" s="7">
        <v>1</v>
      </c>
      <c r="H206" s="10">
        <v>300000000</v>
      </c>
      <c r="I206" s="9" t="s">
        <v>84</v>
      </c>
    </row>
    <row r="207" spans="1:9">
      <c r="A207" s="7" t="s">
        <v>238</v>
      </c>
      <c r="F207" s="7">
        <v>2015</v>
      </c>
      <c r="G207" s="7">
        <v>1</v>
      </c>
      <c r="H207" s="10">
        <v>267440000</v>
      </c>
      <c r="I207" s="9" t="s">
        <v>84</v>
      </c>
    </row>
    <row r="208" spans="1:9">
      <c r="A208" s="7" t="s">
        <v>243</v>
      </c>
      <c r="F208" s="7">
        <v>2008</v>
      </c>
      <c r="G208" s="7">
        <v>1</v>
      </c>
      <c r="H208" s="10">
        <v>226000000</v>
      </c>
      <c r="I208" s="9" t="s">
        <v>84</v>
      </c>
    </row>
    <row r="209" spans="1:9">
      <c r="A209" s="7" t="s">
        <v>244</v>
      </c>
      <c r="F209" s="7">
        <v>2022</v>
      </c>
      <c r="G209" s="7">
        <v>1</v>
      </c>
      <c r="H209" s="10">
        <v>223170000</v>
      </c>
      <c r="I209" s="9" t="s">
        <v>84</v>
      </c>
    </row>
    <row r="210" spans="1:9">
      <c r="A210" s="7" t="s">
        <v>254</v>
      </c>
      <c r="F210" s="7">
        <v>2016</v>
      </c>
      <c r="G210" s="7">
        <v>3</v>
      </c>
      <c r="H210" s="10">
        <v>189750000</v>
      </c>
      <c r="I210" s="9" t="s">
        <v>84</v>
      </c>
    </row>
    <row r="211" spans="1:9">
      <c r="A211" s="7" t="s">
        <v>260</v>
      </c>
      <c r="F211" s="7">
        <v>2017</v>
      </c>
      <c r="G211" s="7">
        <v>1</v>
      </c>
      <c r="H211" s="10">
        <v>164000000</v>
      </c>
      <c r="I211" s="9" t="s">
        <v>84</v>
      </c>
    </row>
    <row r="212" spans="1:9">
      <c r="A212" s="7" t="s">
        <v>263</v>
      </c>
      <c r="F212" s="7">
        <v>2014</v>
      </c>
      <c r="G212" s="7">
        <v>2</v>
      </c>
      <c r="H212" s="10">
        <v>150000000</v>
      </c>
      <c r="I212" s="9" t="s">
        <v>84</v>
      </c>
    </row>
    <row r="213" spans="1:9">
      <c r="A213" s="7" t="s">
        <v>267</v>
      </c>
      <c r="F213" s="7">
        <v>2014</v>
      </c>
      <c r="G213" s="7">
        <v>2</v>
      </c>
      <c r="H213" s="10">
        <v>128000000</v>
      </c>
      <c r="I213" s="9" t="s">
        <v>84</v>
      </c>
    </row>
    <row r="214" spans="1:9">
      <c r="A214" s="7" t="s">
        <v>269</v>
      </c>
      <c r="F214" s="7">
        <v>2010</v>
      </c>
      <c r="G214" s="7">
        <v>2</v>
      </c>
      <c r="H214" s="10">
        <v>117900000</v>
      </c>
      <c r="I214" s="9" t="s">
        <v>84</v>
      </c>
    </row>
    <row r="215" spans="1:9">
      <c r="A215" s="7" t="s">
        <v>276</v>
      </c>
      <c r="F215" s="7">
        <v>2018</v>
      </c>
      <c r="G215" s="7">
        <v>2</v>
      </c>
      <c r="H215" s="10">
        <v>100000000</v>
      </c>
      <c r="I215" s="9" t="s">
        <v>84</v>
      </c>
    </row>
    <row r="216" spans="1:9">
      <c r="A216" s="7" t="s">
        <v>277</v>
      </c>
      <c r="F216" s="7">
        <v>2021</v>
      </c>
      <c r="G216" s="7">
        <v>3</v>
      </c>
      <c r="H216" s="10">
        <v>100000000</v>
      </c>
      <c r="I216" s="9" t="s">
        <v>84</v>
      </c>
    </row>
    <row r="217" spans="1:9">
      <c r="A217" s="7" t="s">
        <v>279</v>
      </c>
      <c r="F217" s="7">
        <v>2019</v>
      </c>
      <c r="G217" s="7">
        <v>1</v>
      </c>
      <c r="H217" s="10">
        <v>94980000</v>
      </c>
      <c r="I217" s="9" t="s">
        <v>84</v>
      </c>
    </row>
    <row r="218" spans="1:9">
      <c r="A218" s="7" t="s">
        <v>280</v>
      </c>
      <c r="F218" s="7">
        <v>2015</v>
      </c>
      <c r="G218" s="7">
        <v>2</v>
      </c>
      <c r="H218" s="10">
        <v>93490000</v>
      </c>
      <c r="I218" s="9" t="s">
        <v>84</v>
      </c>
    </row>
    <row r="219" spans="1:9">
      <c r="A219" s="7" t="s">
        <v>283</v>
      </c>
      <c r="F219" s="7">
        <v>2015</v>
      </c>
      <c r="G219" s="7">
        <v>2</v>
      </c>
      <c r="H219" s="10">
        <v>88000000</v>
      </c>
      <c r="I219" s="9" t="s">
        <v>84</v>
      </c>
    </row>
    <row r="220" spans="1:9">
      <c r="A220" s="7" t="s">
        <v>288</v>
      </c>
      <c r="F220" s="7">
        <v>2017</v>
      </c>
      <c r="G220" s="7">
        <v>2</v>
      </c>
      <c r="H220" s="10">
        <v>72450000</v>
      </c>
      <c r="I220" s="9" t="s">
        <v>84</v>
      </c>
    </row>
    <row r="221" spans="1:9">
      <c r="A221" s="7" t="s">
        <v>294</v>
      </c>
      <c r="F221" s="7">
        <v>2018</v>
      </c>
      <c r="G221" s="7">
        <v>4</v>
      </c>
      <c r="H221" s="10">
        <v>50000000</v>
      </c>
      <c r="I221" s="9" t="s">
        <v>84</v>
      </c>
    </row>
    <row r="222" spans="1:9">
      <c r="A222" s="7" t="s">
        <v>296</v>
      </c>
      <c r="F222" s="7">
        <v>2016</v>
      </c>
      <c r="G222" s="7">
        <v>3</v>
      </c>
      <c r="H222" s="10">
        <v>30100000</v>
      </c>
      <c r="I222" s="9" t="s">
        <v>84</v>
      </c>
    </row>
    <row r="223" spans="1:9">
      <c r="A223" s="7" t="s">
        <v>297</v>
      </c>
      <c r="F223" s="7">
        <v>2014</v>
      </c>
      <c r="G223" s="7">
        <v>1</v>
      </c>
      <c r="H223" s="10">
        <v>26400000</v>
      </c>
      <c r="I223" s="9" t="s">
        <v>84</v>
      </c>
    </row>
    <row r="224" spans="1:9">
      <c r="A224" s="7" t="s">
        <v>301</v>
      </c>
      <c r="F224" s="7">
        <v>2017</v>
      </c>
      <c r="G224" s="7">
        <v>2</v>
      </c>
      <c r="H224" s="10">
        <v>19000000</v>
      </c>
      <c r="I224" s="9" t="s">
        <v>84</v>
      </c>
    </row>
    <row r="225" spans="1:9">
      <c r="A225" s="7" t="s">
        <v>305</v>
      </c>
      <c r="F225" s="7">
        <v>2018</v>
      </c>
      <c r="G225" s="7">
        <v>2</v>
      </c>
      <c r="H225" s="7"/>
      <c r="I225" s="9" t="s">
        <v>84</v>
      </c>
    </row>
    <row r="226" spans="1:9">
      <c r="A226" s="7" t="s">
        <v>309</v>
      </c>
      <c r="F226" s="7">
        <v>2022</v>
      </c>
      <c r="G226" s="7">
        <v>1</v>
      </c>
      <c r="H226" s="7"/>
      <c r="I226" s="9" t="s">
        <v>84</v>
      </c>
    </row>
    <row r="227" spans="1:9">
      <c r="A227" s="7" t="s">
        <v>310</v>
      </c>
      <c r="F227" s="7">
        <v>2015</v>
      </c>
      <c r="G227" s="7">
        <v>1</v>
      </c>
      <c r="H227" s="7"/>
      <c r="I227" s="9" t="s">
        <v>84</v>
      </c>
    </row>
    <row r="228" spans="1:9">
      <c r="A228" s="7" t="s">
        <v>311</v>
      </c>
      <c r="F228" s="7">
        <v>2018</v>
      </c>
      <c r="G228" s="7">
        <v>1</v>
      </c>
      <c r="H228" s="7"/>
      <c r="I228" s="9" t="s">
        <v>84</v>
      </c>
    </row>
  </sheetData>
  <hyperlinks>
    <hyperlink ref="A104" r:id="rId1" display="http://tomorrow.io/" xr:uid="{B4730C14-35F0-E14C-BCE2-7096067F94B7}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23"/>
  <sheetViews>
    <sheetView zoomScale="106" workbookViewId="0">
      <selection activeCell="B3" sqref="B3"/>
    </sheetView>
  </sheetViews>
  <sheetFormatPr baseColWidth="10" defaultColWidth="8.83203125" defaultRowHeight="15"/>
  <sheetData>
    <row r="1" spans="1:5">
      <c r="A1" s="7" t="s">
        <v>34</v>
      </c>
      <c r="B1" s="7" t="s">
        <v>39</v>
      </c>
      <c r="C1" s="7" t="s">
        <v>40</v>
      </c>
      <c r="D1" s="7" t="s">
        <v>41</v>
      </c>
      <c r="E1" s="7"/>
    </row>
    <row r="2" spans="1:5">
      <c r="A2" s="7" t="s">
        <v>35</v>
      </c>
      <c r="B2" s="23">
        <v>0.85099999999999998</v>
      </c>
      <c r="C2" s="23">
        <v>7.4999999999999997E-2</v>
      </c>
      <c r="D2" s="23">
        <v>7.4999999999999997E-2</v>
      </c>
      <c r="E2" s="7"/>
    </row>
    <row r="3" spans="1:5">
      <c r="A3" s="7" t="s">
        <v>38</v>
      </c>
      <c r="B3" s="23">
        <v>0.56599999999999995</v>
      </c>
      <c r="C3" s="23">
        <v>0.39500000000000002</v>
      </c>
      <c r="D3" s="23">
        <v>3.9E-2</v>
      </c>
      <c r="E3" s="7"/>
    </row>
    <row r="4" spans="1:5">
      <c r="A4" s="7" t="s">
        <v>36</v>
      </c>
      <c r="B4" s="23">
        <v>0.503</v>
      </c>
      <c r="C4" s="23">
        <v>0.314</v>
      </c>
      <c r="D4" s="23">
        <v>0.183</v>
      </c>
      <c r="E4" s="7"/>
    </row>
    <row r="5" spans="1:5">
      <c r="A5" s="7" t="s">
        <v>37</v>
      </c>
      <c r="B5" s="23">
        <v>0.379</v>
      </c>
      <c r="C5" s="23">
        <v>0.43099999999999999</v>
      </c>
      <c r="D5" s="23">
        <v>0.19</v>
      </c>
      <c r="E5" s="7"/>
    </row>
    <row r="6" spans="1:5">
      <c r="A6" s="7"/>
      <c r="B6" s="7"/>
      <c r="C6" s="7"/>
      <c r="D6" s="7"/>
      <c r="E6" s="7"/>
    </row>
    <row r="7" spans="1:5">
      <c r="A7" s="7"/>
      <c r="B7" s="7"/>
      <c r="C7" s="7"/>
      <c r="D7" s="7"/>
      <c r="E7" s="7"/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7"/>
      <c r="B12" s="7"/>
      <c r="C12" s="7"/>
      <c r="D12" s="7"/>
      <c r="E12" s="7"/>
    </row>
    <row r="13" spans="1:5">
      <c r="A13" s="7"/>
      <c r="B13" s="7"/>
      <c r="C13" s="7"/>
      <c r="D13" s="7"/>
      <c r="E13" s="7"/>
    </row>
    <row r="14" spans="1:5">
      <c r="A14" s="7"/>
      <c r="B14" s="7"/>
      <c r="C14" s="7"/>
      <c r="D14" s="7"/>
      <c r="E14" s="7"/>
    </row>
    <row r="15" spans="1:5">
      <c r="A15" s="7"/>
      <c r="B15" s="7"/>
      <c r="C15" s="7"/>
      <c r="D15" s="7"/>
      <c r="E15" s="7"/>
    </row>
    <row r="16" spans="1:5">
      <c r="A16" s="7"/>
      <c r="B16" s="7"/>
      <c r="C16" s="7"/>
      <c r="D16" s="7"/>
      <c r="E16" s="7"/>
    </row>
    <row r="17" spans="1:5">
      <c r="A17" s="7"/>
      <c r="B17" s="7"/>
      <c r="C17" s="7"/>
      <c r="D17" s="7"/>
      <c r="E17" s="7"/>
    </row>
    <row r="18" spans="1:5">
      <c r="A18" s="7"/>
      <c r="B18" s="7"/>
      <c r="C18" s="7"/>
      <c r="D18" s="7"/>
      <c r="E18" s="7"/>
    </row>
    <row r="19" spans="1:5">
      <c r="E19" s="7"/>
    </row>
    <row r="20" spans="1:5">
      <c r="E20" s="7"/>
    </row>
    <row r="21" spans="1:5">
      <c r="E21" s="7"/>
    </row>
    <row r="22" spans="1:5">
      <c r="E22" s="7"/>
    </row>
    <row r="23" spans="1:5">
      <c r="E23" s="7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9"/>
  <sheetViews>
    <sheetView workbookViewId="0">
      <selection activeCell="E23" sqref="E23"/>
    </sheetView>
  </sheetViews>
  <sheetFormatPr baseColWidth="10" defaultColWidth="8.83203125" defaultRowHeight="15"/>
  <cols>
    <col min="1" max="13" width="13.1640625" customWidth="1"/>
  </cols>
  <sheetData>
    <row r="1" spans="1:4">
      <c r="A1" t="s">
        <v>0</v>
      </c>
      <c r="B1" t="s">
        <v>22</v>
      </c>
      <c r="C1" t="s">
        <v>19</v>
      </c>
      <c r="D1" t="s">
        <v>20</v>
      </c>
    </row>
    <row r="2" spans="1:4">
      <c r="A2">
        <v>2000</v>
      </c>
      <c r="B2">
        <v>1</v>
      </c>
      <c r="C2">
        <v>11</v>
      </c>
      <c r="D2">
        <v>6</v>
      </c>
    </row>
    <row r="3" spans="1:4">
      <c r="A3">
        <v>2003</v>
      </c>
      <c r="B3">
        <v>-16</v>
      </c>
      <c r="C3">
        <v>1</v>
      </c>
      <c r="D3">
        <v>-8</v>
      </c>
    </row>
    <row r="4" spans="1:4">
      <c r="A4">
        <v>2006</v>
      </c>
      <c r="B4">
        <v>-16</v>
      </c>
      <c r="C4" t="s">
        <v>23</v>
      </c>
      <c r="D4">
        <v>-6</v>
      </c>
    </row>
    <row r="5" spans="1:4">
      <c r="A5">
        <v>2009</v>
      </c>
      <c r="B5">
        <v>-5</v>
      </c>
      <c r="C5">
        <v>10</v>
      </c>
      <c r="D5">
        <v>4</v>
      </c>
    </row>
    <row r="6" spans="1:4">
      <c r="A6">
        <v>2012</v>
      </c>
      <c r="B6">
        <v>-7</v>
      </c>
      <c r="C6">
        <v>6</v>
      </c>
      <c r="D6">
        <v>1</v>
      </c>
    </row>
    <row r="7" spans="1:4">
      <c r="A7">
        <v>2015</v>
      </c>
      <c r="B7">
        <v>-15</v>
      </c>
      <c r="C7">
        <v>8</v>
      </c>
      <c r="D7">
        <v>7</v>
      </c>
    </row>
    <row r="8" spans="1:4">
      <c r="A8">
        <v>2018</v>
      </c>
      <c r="B8">
        <v>-9</v>
      </c>
      <c r="C8">
        <v>20</v>
      </c>
      <c r="D8">
        <v>15</v>
      </c>
    </row>
    <row r="9" spans="1:4">
      <c r="A9">
        <v>2022</v>
      </c>
      <c r="B9">
        <v>-7</v>
      </c>
      <c r="C9">
        <v>28</v>
      </c>
      <c r="D9">
        <v>14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D076-FA8B-EA4C-9584-8461682C36B6}">
  <sheetPr codeName="Sheet97"/>
  <dimension ref="A1:C17"/>
  <sheetViews>
    <sheetView workbookViewId="0">
      <selection activeCell="C1" sqref="C1"/>
    </sheetView>
  </sheetViews>
  <sheetFormatPr baseColWidth="10" defaultRowHeight="15"/>
  <sheetData>
    <row r="1" spans="1:3">
      <c r="A1" t="s">
        <v>0</v>
      </c>
      <c r="B1" s="8" t="s">
        <v>467</v>
      </c>
      <c r="C1" s="8" t="s">
        <v>468</v>
      </c>
    </row>
    <row r="2" spans="1:3">
      <c r="A2" s="7">
        <v>2010</v>
      </c>
      <c r="C2" s="27">
        <v>14453</v>
      </c>
    </row>
    <row r="3" spans="1:3">
      <c r="A3" s="7">
        <v>2011</v>
      </c>
      <c r="C3" s="27">
        <v>14022</v>
      </c>
    </row>
    <row r="4" spans="1:3">
      <c r="A4" s="7">
        <v>2012</v>
      </c>
      <c r="C4" s="27">
        <v>13952</v>
      </c>
    </row>
    <row r="5" spans="1:3">
      <c r="A5" s="7">
        <v>2013</v>
      </c>
      <c r="C5" s="27">
        <v>14114</v>
      </c>
    </row>
    <row r="6" spans="1:3">
      <c r="A6" s="7">
        <v>2014</v>
      </c>
      <c r="B6" s="92">
        <v>4.9000000000000004</v>
      </c>
      <c r="C6" s="27">
        <v>14491</v>
      </c>
    </row>
    <row r="7" spans="1:3">
      <c r="A7" s="7">
        <v>2015</v>
      </c>
      <c r="B7" s="92">
        <v>4.8</v>
      </c>
      <c r="C7" s="27">
        <v>14894</v>
      </c>
    </row>
    <row r="8" spans="1:3">
      <c r="A8" s="7">
        <v>2016</v>
      </c>
      <c r="B8" s="92">
        <v>5.0999999999999996</v>
      </c>
      <c r="C8" s="27">
        <v>15142</v>
      </c>
    </row>
    <row r="9" spans="1:3">
      <c r="A9" s="7">
        <v>2017</v>
      </c>
      <c r="B9" s="92">
        <v>4.9000000000000004</v>
      </c>
      <c r="C9" s="100">
        <v>15277</v>
      </c>
    </row>
    <row r="10" spans="1:3">
      <c r="A10" s="7">
        <v>2018</v>
      </c>
      <c r="B10" s="92">
        <v>5</v>
      </c>
      <c r="C10" s="100">
        <v>15606</v>
      </c>
    </row>
    <row r="11" spans="1:3">
      <c r="A11" s="7">
        <v>2019</v>
      </c>
      <c r="B11" s="92">
        <v>5.4</v>
      </c>
      <c r="C11" s="100">
        <v>15723</v>
      </c>
    </row>
    <row r="12" spans="1:3">
      <c r="A12" s="7">
        <v>2020</v>
      </c>
      <c r="B12" s="92">
        <v>5.4</v>
      </c>
      <c r="C12" s="100">
        <v>16280</v>
      </c>
    </row>
    <row r="13" spans="1:3">
      <c r="A13" s="7"/>
    </row>
    <row r="14" spans="1:3">
      <c r="A14" s="7"/>
    </row>
    <row r="15" spans="1:3">
      <c r="A15" s="7"/>
      <c r="B15" s="92"/>
      <c r="C15" s="100"/>
    </row>
    <row r="16" spans="1:3">
      <c r="A16" s="7"/>
    </row>
    <row r="17" spans="1:1">
      <c r="A17" s="7"/>
    </row>
  </sheetData>
  <hyperlinks>
    <hyperlink ref="C1" r:id="rId1" xr:uid="{EA9F552A-801C-E84B-9A7A-8F7AE6CF6505}"/>
    <hyperlink ref="B1" r:id="rId2" xr:uid="{5A8EBF55-ACC6-084D-B6DE-6F6309E37037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F301-9925-CF4D-B7A4-A38C3617048D}">
  <sheetPr codeName="Sheet98"/>
  <dimension ref="A1:J19"/>
  <sheetViews>
    <sheetView workbookViewId="0">
      <selection activeCell="E13" sqref="E13"/>
    </sheetView>
  </sheetViews>
  <sheetFormatPr baseColWidth="10" defaultRowHeight="15"/>
  <sheetData>
    <row r="1" spans="1:6">
      <c r="B1" t="s">
        <v>547</v>
      </c>
      <c r="C1" t="s">
        <v>548</v>
      </c>
      <c r="D1" t="s">
        <v>549</v>
      </c>
      <c r="E1" t="s">
        <v>551</v>
      </c>
      <c r="F1" t="s">
        <v>550</v>
      </c>
    </row>
    <row r="2" spans="1:6">
      <c r="A2" t="s">
        <v>535</v>
      </c>
      <c r="B2" s="26">
        <v>0.61199999999999999</v>
      </c>
      <c r="C2" s="26">
        <v>0.29199999999999998</v>
      </c>
      <c r="D2" s="26">
        <v>0.32300000000000001</v>
      </c>
      <c r="E2" s="26">
        <v>6.0999999999999999E-2</v>
      </c>
      <c r="F2" s="26">
        <v>6.5000000000000002E-2</v>
      </c>
    </row>
    <row r="3" spans="1:6">
      <c r="A3" t="s">
        <v>545</v>
      </c>
      <c r="B3" s="26">
        <v>0.39700000000000002</v>
      </c>
      <c r="C3" s="26">
        <v>0.22700000000000001</v>
      </c>
      <c r="D3" s="26">
        <v>0.33</v>
      </c>
      <c r="E3" s="26">
        <v>6.0999999999999999E-2</v>
      </c>
      <c r="F3" s="26">
        <v>0.27400000000000002</v>
      </c>
    </row>
    <row r="18" spans="4:10">
      <c r="D18" s="1"/>
      <c r="E18" s="1"/>
      <c r="F18" s="1"/>
      <c r="G18" s="1"/>
      <c r="H18" s="1"/>
      <c r="I18" s="1"/>
    </row>
    <row r="19" spans="4:10">
      <c r="J19" s="10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D20F-C8DF-8B4D-BEBE-8C8DA4F2EE50}">
  <sheetPr codeName="Sheet99"/>
  <dimension ref="A1:E5"/>
  <sheetViews>
    <sheetView zoomScale="65" workbookViewId="0">
      <selection activeCell="K32" sqref="K32"/>
    </sheetView>
  </sheetViews>
  <sheetFormatPr baseColWidth="10" defaultRowHeight="15"/>
  <sheetData>
    <row r="1" spans="1:5">
      <c r="B1" t="s">
        <v>553</v>
      </c>
      <c r="C1" t="s">
        <v>554</v>
      </c>
      <c r="D1" t="s">
        <v>556</v>
      </c>
      <c r="E1" t="s">
        <v>555</v>
      </c>
    </row>
    <row r="2" spans="1:5">
      <c r="A2" t="s">
        <v>471</v>
      </c>
      <c r="B2" s="26">
        <v>0.51900000000000002</v>
      </c>
      <c r="C2" s="26">
        <v>0.48099999999999998</v>
      </c>
      <c r="D2" s="26">
        <v>1.6E-2</v>
      </c>
      <c r="E2" s="26">
        <v>0.98399999999999999</v>
      </c>
    </row>
    <row r="3" spans="1:5">
      <c r="A3" t="s">
        <v>472</v>
      </c>
      <c r="B3" s="26">
        <v>0.68400000000000005</v>
      </c>
      <c r="C3" s="26">
        <v>0.316</v>
      </c>
      <c r="D3" s="26">
        <v>0.115</v>
      </c>
      <c r="E3" s="26">
        <v>0.88500000000000001</v>
      </c>
    </row>
    <row r="4" spans="1:5">
      <c r="A4" t="s">
        <v>552</v>
      </c>
      <c r="B4" s="26">
        <v>0.628</v>
      </c>
      <c r="C4" s="26">
        <v>0.372</v>
      </c>
      <c r="D4" s="26">
        <v>8.7999999999999995E-2</v>
      </c>
      <c r="E4" s="26">
        <v>0.91800000000000004</v>
      </c>
    </row>
    <row r="5" spans="1:5">
      <c r="A5" t="s">
        <v>470</v>
      </c>
      <c r="B5" s="26">
        <v>0.622</v>
      </c>
      <c r="C5" s="26">
        <v>0.378</v>
      </c>
      <c r="D5" s="26">
        <v>6.7000000000000004E-2</v>
      </c>
      <c r="E5" s="26">
        <v>0.93300000000000005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8"/>
  <dimension ref="A1:D34"/>
  <sheetViews>
    <sheetView workbookViewId="0">
      <selection activeCell="B23" sqref="B23:B24"/>
    </sheetView>
  </sheetViews>
  <sheetFormatPr baseColWidth="10" defaultColWidth="8.83203125" defaultRowHeight="15"/>
  <sheetData>
    <row r="1" spans="1:4">
      <c r="A1" s="13" t="s">
        <v>0</v>
      </c>
      <c r="B1" s="13" t="s">
        <v>430</v>
      </c>
      <c r="C1" s="1"/>
    </row>
    <row r="2" spans="1:4">
      <c r="A2" s="13">
        <v>1990</v>
      </c>
      <c r="B2" s="14">
        <v>70727</v>
      </c>
      <c r="C2" s="1"/>
      <c r="D2" s="1"/>
    </row>
    <row r="3" spans="1:4">
      <c r="A3" s="13">
        <v>1992</v>
      </c>
      <c r="B3" s="14">
        <v>71154</v>
      </c>
      <c r="C3" s="1"/>
      <c r="D3" s="1"/>
    </row>
    <row r="4" spans="1:4">
      <c r="A4" s="13">
        <v>1994</v>
      </c>
      <c r="B4" s="14">
        <v>76302</v>
      </c>
      <c r="C4" s="1"/>
      <c r="D4" s="1"/>
    </row>
    <row r="5" spans="1:4">
      <c r="A5" s="13">
        <v>1995</v>
      </c>
      <c r="B5" s="14">
        <v>84403</v>
      </c>
      <c r="C5" s="1"/>
      <c r="D5" s="1"/>
    </row>
    <row r="6" spans="1:4">
      <c r="A6" s="13">
        <v>1996</v>
      </c>
      <c r="B6" s="14">
        <v>89242</v>
      </c>
      <c r="C6" s="1"/>
      <c r="D6" s="1"/>
    </row>
    <row r="7" spans="1:4">
      <c r="A7" s="13">
        <v>1997</v>
      </c>
      <c r="B7" s="14">
        <v>99448</v>
      </c>
      <c r="C7" s="1"/>
      <c r="D7" s="1"/>
    </row>
    <row r="8" spans="1:4">
      <c r="A8" s="13">
        <v>1998</v>
      </c>
      <c r="B8" s="14">
        <v>113959</v>
      </c>
      <c r="C8" s="1"/>
      <c r="D8" s="1"/>
    </row>
    <row r="9" spans="1:4">
      <c r="A9" s="13">
        <v>1999</v>
      </c>
      <c r="B9" s="14">
        <v>129770</v>
      </c>
      <c r="C9" s="1"/>
      <c r="D9" s="1"/>
    </row>
    <row r="10" spans="1:4">
      <c r="A10" s="13">
        <v>2000</v>
      </c>
      <c r="B10" s="14">
        <v>143590</v>
      </c>
      <c r="C10" s="1"/>
      <c r="D10" s="1"/>
    </row>
    <row r="11" spans="1:4">
      <c r="A11" s="13">
        <v>2001</v>
      </c>
      <c r="B11" s="14">
        <v>154168</v>
      </c>
      <c r="C11" s="1"/>
      <c r="D11" s="1"/>
    </row>
    <row r="12" spans="1:4">
      <c r="A12" s="13">
        <v>2002</v>
      </c>
      <c r="B12" s="14">
        <v>160920</v>
      </c>
    </row>
    <row r="13" spans="1:4">
      <c r="A13" s="13">
        <v>2003</v>
      </c>
      <c r="B13" s="14">
        <v>174629</v>
      </c>
    </row>
    <row r="14" spans="1:4">
      <c r="A14" s="13">
        <v>2004</v>
      </c>
      <c r="B14" s="14">
        <v>191321</v>
      </c>
    </row>
    <row r="15" spans="1:4">
      <c r="A15" s="13">
        <v>2005</v>
      </c>
      <c r="B15" s="14">
        <v>205983</v>
      </c>
    </row>
    <row r="16" spans="1:4">
      <c r="A16" s="13">
        <v>2006</v>
      </c>
      <c r="B16" s="14">
        <v>223534</v>
      </c>
    </row>
    <row r="17" spans="1:2">
      <c r="A17" s="13">
        <v>2007</v>
      </c>
      <c r="B17" s="14">
        <v>241791</v>
      </c>
    </row>
    <row r="18" spans="1:2">
      <c r="A18" s="13">
        <v>2008</v>
      </c>
      <c r="B18" s="14">
        <v>262416</v>
      </c>
    </row>
    <row r="19" spans="1:2">
      <c r="A19" s="13">
        <v>2009</v>
      </c>
      <c r="B19" s="14">
        <v>260327</v>
      </c>
    </row>
    <row r="20" spans="1:2">
      <c r="A20" s="13">
        <v>2010</v>
      </c>
      <c r="B20" s="14">
        <v>270604</v>
      </c>
    </row>
    <row r="21" spans="1:2">
      <c r="A21" s="13">
        <v>2011</v>
      </c>
      <c r="B21" s="14">
        <v>273996</v>
      </c>
    </row>
    <row r="22" spans="1:2">
      <c r="A22" s="13">
        <v>2012</v>
      </c>
      <c r="B22" s="14">
        <v>283332</v>
      </c>
    </row>
    <row r="23" spans="1:2">
      <c r="A23" s="13">
        <v>2013</v>
      </c>
      <c r="B23" s="14">
        <v>289408</v>
      </c>
    </row>
    <row r="24" spans="1:2">
      <c r="A24" s="13">
        <v>2014</v>
      </c>
      <c r="B24" s="14">
        <v>304467</v>
      </c>
    </row>
    <row r="25" spans="1:2">
      <c r="A25" s="13">
        <v>2015</v>
      </c>
      <c r="B25" s="14">
        <v>313415</v>
      </c>
    </row>
    <row r="26" spans="1:2">
      <c r="A26" s="13">
        <v>2016</v>
      </c>
      <c r="B26" s="14">
        <v>325339</v>
      </c>
    </row>
    <row r="27" spans="1:2">
      <c r="A27" s="13">
        <v>2017</v>
      </c>
      <c r="B27" s="14">
        <v>332727</v>
      </c>
    </row>
    <row r="28" spans="1:2">
      <c r="A28" s="13">
        <v>2018</v>
      </c>
      <c r="B28" s="14">
        <v>341751</v>
      </c>
    </row>
    <row r="29" spans="1:2">
      <c r="A29" s="13">
        <v>2019</v>
      </c>
      <c r="B29" s="14">
        <v>347099</v>
      </c>
    </row>
    <row r="30" spans="1:2">
      <c r="A30" s="13">
        <v>2020</v>
      </c>
      <c r="B30" s="14">
        <v>162633</v>
      </c>
    </row>
    <row r="31" spans="1:2">
      <c r="A31" s="13">
        <v>2021</v>
      </c>
      <c r="B31" s="14">
        <v>14549</v>
      </c>
    </row>
    <row r="32" spans="1:2">
      <c r="A32" s="13">
        <v>2022</v>
      </c>
      <c r="B32" s="14">
        <v>188753</v>
      </c>
    </row>
    <row r="33" spans="1:2">
      <c r="A33" s="13">
        <v>2023</v>
      </c>
      <c r="B33" s="14">
        <v>280716</v>
      </c>
    </row>
    <row r="34" spans="1:2">
      <c r="A34" s="13">
        <v>2024</v>
      </c>
      <c r="B34" s="6">
        <v>298180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9"/>
  <dimension ref="A1:K45"/>
  <sheetViews>
    <sheetView workbookViewId="0">
      <selection activeCell="B57" sqref="B57"/>
    </sheetView>
  </sheetViews>
  <sheetFormatPr baseColWidth="10" defaultColWidth="8.83203125" defaultRowHeight="15"/>
  <sheetData>
    <row r="1" spans="1:11">
      <c r="A1" s="13" t="s">
        <v>0</v>
      </c>
      <c r="B1" s="13" t="s">
        <v>432</v>
      </c>
      <c r="C1" s="13" t="s">
        <v>431</v>
      </c>
      <c r="D1" s="13" t="s">
        <v>392</v>
      </c>
      <c r="E1" s="13" t="s">
        <v>415</v>
      </c>
      <c r="F1" s="13" t="s">
        <v>416</v>
      </c>
      <c r="G1" s="13" t="s">
        <v>433</v>
      </c>
      <c r="H1" s="12"/>
      <c r="I1" s="12"/>
      <c r="J1" s="12"/>
      <c r="K1" s="12"/>
    </row>
    <row r="2" spans="1:11">
      <c r="A2" s="13">
        <v>2001</v>
      </c>
      <c r="B2" s="13">
        <v>16.600000000000001</v>
      </c>
      <c r="C2" s="13">
        <v>18.100000000000001</v>
      </c>
      <c r="D2" s="13">
        <v>20.3</v>
      </c>
      <c r="E2" s="13">
        <v>8.5</v>
      </c>
      <c r="F2" s="13">
        <v>14.5</v>
      </c>
      <c r="G2" s="21">
        <v>22</v>
      </c>
      <c r="H2" s="21"/>
      <c r="I2" s="21"/>
      <c r="J2" s="21"/>
      <c r="K2" s="21"/>
    </row>
    <row r="3" spans="1:11">
      <c r="A3" s="13">
        <v>2002</v>
      </c>
      <c r="B3" s="13">
        <v>16.8</v>
      </c>
      <c r="C3" s="13">
        <v>17.600000000000001</v>
      </c>
      <c r="D3" s="13">
        <v>21.9</v>
      </c>
      <c r="E3" s="13">
        <v>8.5</v>
      </c>
      <c r="F3" s="13">
        <v>13.8</v>
      </c>
      <c r="G3" s="21">
        <v>21.399999999999991</v>
      </c>
      <c r="H3" s="13"/>
      <c r="I3" s="13"/>
      <c r="J3" s="13"/>
      <c r="K3" s="13"/>
    </row>
    <row r="4" spans="1:11">
      <c r="A4" s="13">
        <v>2003</v>
      </c>
      <c r="B4" s="13">
        <v>17</v>
      </c>
      <c r="C4" s="13">
        <v>17.7</v>
      </c>
      <c r="D4" s="13">
        <v>21.3</v>
      </c>
      <c r="E4" s="13">
        <v>9</v>
      </c>
      <c r="F4" s="13">
        <v>13.3</v>
      </c>
      <c r="G4" s="21">
        <v>21.700000000000003</v>
      </c>
      <c r="H4" s="22"/>
      <c r="I4" s="22"/>
      <c r="J4" s="22"/>
      <c r="K4" s="22"/>
    </row>
    <row r="5" spans="1:11">
      <c r="A5" s="13">
        <v>2004</v>
      </c>
      <c r="B5" s="13">
        <v>16.2</v>
      </c>
      <c r="C5" s="13">
        <v>17.5</v>
      </c>
      <c r="D5" s="13">
        <v>22.6</v>
      </c>
      <c r="E5" s="13">
        <v>7.6</v>
      </c>
      <c r="F5" s="13">
        <v>13.3</v>
      </c>
      <c r="G5" s="21">
        <v>22.799999999999997</v>
      </c>
      <c r="H5" s="22"/>
      <c r="I5" s="22"/>
      <c r="J5" s="22"/>
      <c r="K5" s="22"/>
    </row>
    <row r="6" spans="1:11">
      <c r="A6" s="13">
        <v>2005</v>
      </c>
      <c r="B6" s="13">
        <v>16.3</v>
      </c>
      <c r="C6" s="13">
        <v>17.5</v>
      </c>
      <c r="D6" s="13">
        <v>22.6</v>
      </c>
      <c r="E6" s="13">
        <v>7.6</v>
      </c>
      <c r="F6" s="13">
        <v>13.3</v>
      </c>
      <c r="G6" s="21">
        <v>22.700000000000003</v>
      </c>
      <c r="H6" s="22"/>
      <c r="I6" s="22"/>
      <c r="J6" s="22"/>
      <c r="K6" s="22"/>
    </row>
    <row r="7" spans="1:11">
      <c r="A7" s="13">
        <v>2006</v>
      </c>
      <c r="B7" s="13">
        <v>16.399999999999999</v>
      </c>
      <c r="C7" s="13">
        <v>17.7</v>
      </c>
      <c r="D7" s="13">
        <v>21.7</v>
      </c>
      <c r="E7" s="13">
        <v>7.5</v>
      </c>
      <c r="F7" s="13">
        <v>14.2</v>
      </c>
      <c r="G7" s="21">
        <v>22.5</v>
      </c>
      <c r="H7" s="22"/>
      <c r="I7" s="22"/>
      <c r="J7" s="22"/>
      <c r="K7" s="22"/>
    </row>
    <row r="8" spans="1:11">
      <c r="A8" s="13">
        <v>2007</v>
      </c>
      <c r="B8" s="13">
        <v>17.5</v>
      </c>
      <c r="C8" s="13">
        <v>19.100000000000001</v>
      </c>
      <c r="D8" s="13">
        <v>21.4</v>
      </c>
      <c r="E8" s="13">
        <v>7.7</v>
      </c>
      <c r="F8" s="13">
        <v>13.2</v>
      </c>
      <c r="G8" s="21">
        <v>21.099999999999994</v>
      </c>
      <c r="H8" s="22"/>
      <c r="I8" s="22"/>
      <c r="J8" s="22"/>
      <c r="K8" s="22"/>
    </row>
    <row r="9" spans="1:11">
      <c r="A9" s="13">
        <v>2008</v>
      </c>
      <c r="B9" s="13">
        <v>17.600000000000001</v>
      </c>
      <c r="C9" s="13">
        <v>20.2</v>
      </c>
      <c r="D9" s="13">
        <v>21.5</v>
      </c>
      <c r="E9" s="13">
        <v>8.4</v>
      </c>
      <c r="F9" s="13">
        <v>13.3</v>
      </c>
      <c r="G9" s="21">
        <v>19</v>
      </c>
      <c r="H9" s="13"/>
      <c r="I9" s="13"/>
      <c r="J9" s="13"/>
      <c r="K9" s="13"/>
    </row>
    <row r="10" spans="1:11">
      <c r="A10" s="13">
        <v>2009</v>
      </c>
      <c r="B10" s="13">
        <v>17.7</v>
      </c>
      <c r="C10" s="13">
        <v>19.5</v>
      </c>
      <c r="D10" s="13">
        <v>20.7</v>
      </c>
      <c r="E10" s="13">
        <v>7.3</v>
      </c>
      <c r="F10" s="13">
        <v>12.3</v>
      </c>
      <c r="G10" s="21">
        <v>22.5</v>
      </c>
      <c r="H10" s="13"/>
      <c r="I10" s="13"/>
      <c r="J10" s="13"/>
      <c r="K10" s="13"/>
    </row>
    <row r="11" spans="1:11">
      <c r="A11" s="13">
        <v>2010</v>
      </c>
      <c r="B11" s="13">
        <v>18.899999999999999</v>
      </c>
      <c r="C11" s="13">
        <v>20.8</v>
      </c>
      <c r="D11" s="13">
        <v>22.3</v>
      </c>
      <c r="E11" s="13">
        <v>8.3000000000000007</v>
      </c>
      <c r="F11" s="13">
        <v>12.1</v>
      </c>
      <c r="G11" s="21">
        <v>17.600000000000009</v>
      </c>
      <c r="H11" s="13"/>
      <c r="I11" s="13"/>
      <c r="J11" s="13"/>
      <c r="K11" s="13"/>
    </row>
    <row r="12" spans="1:11">
      <c r="A12" s="13">
        <v>2011</v>
      </c>
      <c r="B12" s="13">
        <v>19.8</v>
      </c>
      <c r="C12" s="13">
        <v>20.5</v>
      </c>
      <c r="D12" s="13">
        <v>22.9</v>
      </c>
      <c r="E12" s="13">
        <v>8.1999999999999993</v>
      </c>
      <c r="F12" s="13">
        <v>11.3</v>
      </c>
      <c r="G12" s="21">
        <v>17.300000000000011</v>
      </c>
      <c r="H12" s="13"/>
      <c r="I12" s="13"/>
      <c r="J12" s="13"/>
      <c r="K12" s="13"/>
    </row>
    <row r="13" spans="1:11">
      <c r="A13" s="13">
        <v>2012</v>
      </c>
      <c r="B13" s="13">
        <v>21.1</v>
      </c>
      <c r="C13" s="13">
        <v>20.5</v>
      </c>
      <c r="D13" s="13">
        <v>22.4</v>
      </c>
      <c r="E13" s="13">
        <v>7.8</v>
      </c>
      <c r="F13" s="13">
        <v>10.8</v>
      </c>
      <c r="G13" s="21">
        <v>17.400000000000006</v>
      </c>
      <c r="H13" s="13"/>
      <c r="I13" s="13"/>
      <c r="J13" s="13"/>
      <c r="K13" s="13"/>
    </row>
    <row r="14" spans="1:11">
      <c r="A14" s="13">
        <v>2013</v>
      </c>
      <c r="B14" s="13">
        <v>22.5</v>
      </c>
      <c r="C14" s="13">
        <v>20.399999999999999</v>
      </c>
      <c r="D14" s="13">
        <v>22.1</v>
      </c>
      <c r="E14" s="13">
        <v>7.8</v>
      </c>
      <c r="F14" s="13">
        <v>10.4</v>
      </c>
      <c r="G14" s="21">
        <v>16.799999999999997</v>
      </c>
      <c r="H14" s="13"/>
      <c r="I14" s="13"/>
      <c r="J14" s="13"/>
      <c r="K14" s="13"/>
    </row>
    <row r="15" spans="1:11">
      <c r="A15" s="13">
        <v>2014</v>
      </c>
      <c r="B15" s="13">
        <v>22.6</v>
      </c>
      <c r="C15" s="13">
        <v>19.600000000000001</v>
      </c>
      <c r="D15" s="13">
        <v>18.7</v>
      </c>
      <c r="E15" s="13">
        <v>7</v>
      </c>
      <c r="F15" s="13">
        <v>4.0999999999999996</v>
      </c>
      <c r="G15" s="21">
        <v>28</v>
      </c>
      <c r="H15" s="13"/>
      <c r="I15" s="13"/>
      <c r="J15" s="13"/>
      <c r="K15" s="13"/>
    </row>
    <row r="16" spans="1:11">
      <c r="A16" s="13">
        <v>2015</v>
      </c>
      <c r="B16" s="13">
        <v>23.9</v>
      </c>
      <c r="C16" s="13">
        <v>20.100000000000001</v>
      </c>
      <c r="D16" s="13">
        <v>17.3</v>
      </c>
      <c r="E16" s="13">
        <v>6.9</v>
      </c>
      <c r="F16" s="13">
        <v>3.8</v>
      </c>
      <c r="G16" s="21">
        <v>28</v>
      </c>
      <c r="H16" s="13"/>
      <c r="I16" s="13"/>
      <c r="J16" s="13"/>
      <c r="K16" s="13"/>
    </row>
    <row r="17" spans="1:11">
      <c r="A17" s="13">
        <v>2016</v>
      </c>
      <c r="B17" s="13">
        <v>25.2</v>
      </c>
      <c r="C17" s="13">
        <v>20.9</v>
      </c>
      <c r="D17" s="13">
        <v>17.100000000000001</v>
      </c>
      <c r="E17" s="13">
        <v>6.9</v>
      </c>
      <c r="F17" s="13">
        <v>3.7</v>
      </c>
      <c r="G17" s="21">
        <v>26.200000000000003</v>
      </c>
      <c r="H17" s="21"/>
      <c r="I17" s="21"/>
      <c r="J17" s="21"/>
      <c r="K17" s="21"/>
    </row>
    <row r="18" spans="1:11">
      <c r="A18" s="13">
        <v>2017</v>
      </c>
      <c r="B18" s="13">
        <v>25.8</v>
      </c>
      <c r="C18" s="13">
        <v>20.7</v>
      </c>
      <c r="D18" s="13">
        <v>17.2</v>
      </c>
      <c r="E18" s="13">
        <v>6.3</v>
      </c>
      <c r="F18" s="13">
        <v>3.6</v>
      </c>
      <c r="G18" s="21">
        <v>26.400000000000006</v>
      </c>
      <c r="H18" s="13"/>
      <c r="I18" s="13"/>
      <c r="J18" s="13"/>
      <c r="K18" s="13"/>
    </row>
    <row r="19" spans="1:11">
      <c r="A19" s="13">
        <v>2018</v>
      </c>
      <c r="B19" s="13">
        <v>25.6</v>
      </c>
      <c r="C19" s="13">
        <v>20.8</v>
      </c>
      <c r="D19" s="13">
        <v>17.100000000000001</v>
      </c>
      <c r="E19" s="13">
        <v>6.8</v>
      </c>
      <c r="F19" s="13">
        <v>3.6</v>
      </c>
      <c r="G19" s="21">
        <v>26.099999999999994</v>
      </c>
      <c r="H19" s="13"/>
      <c r="I19" s="13"/>
      <c r="J19" s="13"/>
      <c r="K19" s="21"/>
    </row>
    <row r="20" spans="1:11">
      <c r="A20" s="13">
        <v>2019</v>
      </c>
      <c r="B20" s="13">
        <v>26.8</v>
      </c>
      <c r="C20" s="13">
        <v>20.7</v>
      </c>
      <c r="D20" s="13">
        <v>17</v>
      </c>
      <c r="E20" s="13">
        <v>6.9</v>
      </c>
      <c r="F20" s="13">
        <v>3.3</v>
      </c>
      <c r="G20" s="21">
        <v>25.299999999999997</v>
      </c>
    </row>
    <row r="21" spans="1:11">
      <c r="A21" s="13">
        <v>2020</v>
      </c>
      <c r="B21" s="13">
        <v>24.5</v>
      </c>
      <c r="C21" s="13">
        <v>20.8</v>
      </c>
      <c r="D21" s="13">
        <v>19.2</v>
      </c>
      <c r="E21" s="13">
        <v>6.9</v>
      </c>
      <c r="F21" s="13">
        <v>3.7</v>
      </c>
      <c r="G21" s="21">
        <v>24.899999999999991</v>
      </c>
    </row>
    <row r="22" spans="1:11">
      <c r="A22" s="13">
        <v>2021</v>
      </c>
      <c r="B22" s="13">
        <v>29.2</v>
      </c>
      <c r="C22" s="13">
        <v>17.3</v>
      </c>
      <c r="D22" s="13">
        <v>17.2</v>
      </c>
      <c r="E22" s="13">
        <v>6.4</v>
      </c>
      <c r="F22" s="13">
        <v>3.1</v>
      </c>
      <c r="G22" s="21">
        <v>26.799999999999997</v>
      </c>
    </row>
    <row r="23" spans="1:11">
      <c r="A23" s="13">
        <v>2022</v>
      </c>
      <c r="B23" s="13">
        <v>25.6</v>
      </c>
      <c r="C23" s="13">
        <v>20.8</v>
      </c>
      <c r="D23" s="13">
        <v>17.600000000000001</v>
      </c>
      <c r="E23" s="13">
        <v>7.1</v>
      </c>
      <c r="F23" s="13">
        <v>3.4</v>
      </c>
      <c r="G23" s="21">
        <v>25.5</v>
      </c>
    </row>
    <row r="24" spans="1:11">
      <c r="A24" s="13">
        <v>2023</v>
      </c>
      <c r="B24" s="13">
        <v>27</v>
      </c>
      <c r="C24" s="13">
        <v>21</v>
      </c>
      <c r="D24" s="13">
        <v>17.7</v>
      </c>
      <c r="E24" s="13">
        <v>7.4</v>
      </c>
      <c r="F24" s="13">
        <v>3.1</v>
      </c>
      <c r="G24" s="21">
        <v>23.799999999999997</v>
      </c>
    </row>
    <row r="25" spans="1:11">
      <c r="A25" s="13">
        <v>2024</v>
      </c>
      <c r="B25" s="13">
        <v>27.2</v>
      </c>
      <c r="C25" s="13">
        <v>21.7</v>
      </c>
      <c r="D25" s="13">
        <v>17.8</v>
      </c>
      <c r="E25" s="13">
        <v>7.3</v>
      </c>
      <c r="F25" s="13">
        <v>3</v>
      </c>
      <c r="G25" s="21">
        <v>23</v>
      </c>
    </row>
    <row r="26" spans="1:11">
      <c r="A26" s="12"/>
      <c r="B26" s="13"/>
      <c r="C26" s="13"/>
      <c r="D26" s="13"/>
      <c r="E26" s="13"/>
      <c r="F26" s="13"/>
    </row>
    <row r="27" spans="1:11">
      <c r="A27" s="12"/>
      <c r="B27" s="13"/>
      <c r="C27" s="13"/>
      <c r="D27" s="13"/>
      <c r="E27" s="13"/>
      <c r="F27" s="13"/>
    </row>
    <row r="28" spans="1:11">
      <c r="A28" s="12"/>
      <c r="B28" s="13"/>
      <c r="C28" s="13"/>
      <c r="D28" s="13"/>
      <c r="E28" s="13"/>
      <c r="F28" s="13"/>
    </row>
    <row r="29" spans="1:11">
      <c r="A29" s="12"/>
      <c r="B29" s="13"/>
      <c r="C29" s="13"/>
      <c r="D29" s="13"/>
      <c r="E29" s="13"/>
      <c r="F29" s="13"/>
    </row>
    <row r="30" spans="1:11">
      <c r="A30" s="12"/>
      <c r="B30" s="13"/>
      <c r="C30" s="13"/>
      <c r="D30" s="13"/>
      <c r="E30" s="13"/>
      <c r="F30" s="13"/>
    </row>
    <row r="31" spans="1:11">
      <c r="A31" s="12"/>
      <c r="B31" s="13"/>
      <c r="C31" s="13"/>
      <c r="D31" s="13"/>
      <c r="E31" s="13"/>
      <c r="F31" s="13"/>
    </row>
    <row r="32" spans="1:11">
      <c r="A32" s="12"/>
      <c r="B32" s="13"/>
      <c r="C32" s="13"/>
      <c r="D32" s="13"/>
      <c r="E32" s="13"/>
      <c r="F32" s="13"/>
    </row>
    <row r="33" spans="1:6">
      <c r="A33" s="12"/>
      <c r="B33" s="13"/>
      <c r="C33" s="13"/>
      <c r="D33" s="13"/>
      <c r="E33" s="13"/>
      <c r="F33" s="13"/>
    </row>
    <row r="34" spans="1:6">
      <c r="A34" s="12"/>
      <c r="B34" s="13"/>
      <c r="C34" s="13"/>
      <c r="D34" s="13"/>
      <c r="E34" s="13"/>
      <c r="F34" s="13"/>
    </row>
    <row r="35" spans="1:6">
      <c r="A35" s="12"/>
      <c r="B35" s="13"/>
      <c r="C35" s="13"/>
      <c r="D35" s="13"/>
      <c r="E35" s="13"/>
      <c r="F35" s="13"/>
    </row>
    <row r="36" spans="1:6">
      <c r="A36" s="12"/>
      <c r="B36" s="13"/>
      <c r="C36" s="13"/>
      <c r="D36" s="13"/>
      <c r="E36" s="13"/>
      <c r="F36" s="13"/>
    </row>
    <row r="37" spans="1:6">
      <c r="A37" s="12"/>
      <c r="B37" s="13"/>
      <c r="C37" s="13"/>
      <c r="D37" s="13"/>
      <c r="E37" s="13"/>
      <c r="F37" s="13"/>
    </row>
    <row r="38" spans="1:6">
      <c r="A38" s="12"/>
      <c r="B38" s="13"/>
      <c r="C38" s="13"/>
      <c r="D38" s="13"/>
      <c r="E38" s="13"/>
      <c r="F38" s="13"/>
    </row>
    <row r="39" spans="1:6">
      <c r="A39" s="12"/>
      <c r="B39" s="13"/>
      <c r="C39" s="13"/>
      <c r="D39" s="13"/>
      <c r="E39" s="13"/>
      <c r="F39" s="13"/>
    </row>
    <row r="40" spans="1:6">
      <c r="A40" s="12"/>
      <c r="B40" s="13"/>
      <c r="C40" s="13"/>
      <c r="D40" s="13"/>
      <c r="E40" s="13"/>
      <c r="F40" s="13"/>
    </row>
    <row r="41" spans="1:6">
      <c r="A41" s="12"/>
      <c r="B41" s="13"/>
      <c r="C41" s="13"/>
      <c r="D41" s="13"/>
      <c r="E41" s="13"/>
      <c r="F41" s="13"/>
    </row>
    <row r="42" spans="1:6">
      <c r="A42" s="12"/>
      <c r="B42" s="13"/>
      <c r="C42" s="13"/>
      <c r="D42" s="13"/>
      <c r="E42" s="13"/>
      <c r="F42" s="13"/>
    </row>
    <row r="43" spans="1:6">
      <c r="A43" s="12"/>
      <c r="B43" s="13"/>
      <c r="C43" s="13"/>
      <c r="D43" s="13"/>
      <c r="E43" s="13"/>
      <c r="F43" s="13"/>
    </row>
    <row r="44" spans="1:6">
      <c r="A44" s="12"/>
      <c r="B44" s="13"/>
      <c r="C44" s="13"/>
      <c r="D44" s="13"/>
      <c r="E44" s="13"/>
      <c r="F44" s="13"/>
    </row>
    <row r="45" spans="1:6">
      <c r="A45" s="12"/>
      <c r="B45" s="13"/>
      <c r="C45" s="13"/>
      <c r="D45" s="13"/>
      <c r="E45" s="13"/>
      <c r="F45" s="13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0"/>
  <dimension ref="A1:T31"/>
  <sheetViews>
    <sheetView workbookViewId="0">
      <selection activeCell="C7" sqref="C7"/>
    </sheetView>
  </sheetViews>
  <sheetFormatPr baseColWidth="10" defaultColWidth="8.83203125" defaultRowHeight="15"/>
  <sheetData>
    <row r="1" spans="1:20">
      <c r="A1" s="13" t="s">
        <v>0</v>
      </c>
      <c r="B1" s="13" t="s">
        <v>434</v>
      </c>
      <c r="C1" s="13" t="s">
        <v>4</v>
      </c>
      <c r="D1" s="13" t="s">
        <v>6</v>
      </c>
      <c r="E1" s="13" t="s">
        <v>435</v>
      </c>
      <c r="F1" s="13" t="s">
        <v>436</v>
      </c>
      <c r="G1" s="13" t="s">
        <v>8</v>
      </c>
      <c r="H1" s="13" t="s">
        <v>9</v>
      </c>
      <c r="I1" s="13" t="s">
        <v>437</v>
      </c>
      <c r="J1" s="13" t="s">
        <v>438</v>
      </c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20">
      <c r="A2" s="13">
        <v>2005</v>
      </c>
      <c r="B2" s="13">
        <v>3.5</v>
      </c>
      <c r="C2" s="13">
        <v>8</v>
      </c>
      <c r="D2" s="13">
        <v>60.3</v>
      </c>
      <c r="E2" s="13">
        <v>14.4</v>
      </c>
      <c r="F2" s="13">
        <v>1</v>
      </c>
      <c r="G2" s="13">
        <v>0.5</v>
      </c>
      <c r="H2" s="13">
        <v>6.7</v>
      </c>
      <c r="I2" s="13">
        <v>0</v>
      </c>
      <c r="J2" s="13">
        <v>5.6</v>
      </c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0">
      <c r="A3" s="13">
        <v>2006</v>
      </c>
      <c r="B3" s="13">
        <v>3.8</v>
      </c>
      <c r="C3" s="13">
        <v>9.3000000000000007</v>
      </c>
      <c r="D3" s="13">
        <v>58.3</v>
      </c>
      <c r="E3" s="13">
        <v>15.2</v>
      </c>
      <c r="F3" s="13">
        <v>1.2</v>
      </c>
      <c r="G3" s="13">
        <v>0.5</v>
      </c>
      <c r="H3" s="13">
        <v>6.3</v>
      </c>
      <c r="I3" s="13">
        <v>0</v>
      </c>
      <c r="J3" s="13">
        <v>5.5</v>
      </c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>
      <c r="A4" s="13">
        <v>2007</v>
      </c>
      <c r="B4" s="13">
        <v>4.2</v>
      </c>
      <c r="C4" s="13">
        <v>10.3</v>
      </c>
      <c r="D4" s="13">
        <v>57.4</v>
      </c>
      <c r="E4" s="13">
        <v>15</v>
      </c>
      <c r="F4" s="13">
        <v>1.1000000000000001</v>
      </c>
      <c r="G4" s="13">
        <v>0.6</v>
      </c>
      <c r="H4" s="13">
        <v>5.7</v>
      </c>
      <c r="I4" s="13">
        <v>0</v>
      </c>
      <c r="J4" s="13">
        <v>5.6</v>
      </c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20">
      <c r="A5" s="13">
        <v>2008</v>
      </c>
      <c r="B5" s="13">
        <v>4.5</v>
      </c>
      <c r="C5" s="13">
        <v>11.1</v>
      </c>
      <c r="D5" s="13">
        <v>56.3</v>
      </c>
      <c r="E5" s="13">
        <v>15.3</v>
      </c>
      <c r="F5" s="13">
        <v>1.3</v>
      </c>
      <c r="G5" s="13">
        <v>0.4</v>
      </c>
      <c r="H5" s="13">
        <v>5.3</v>
      </c>
      <c r="I5" s="13">
        <v>0</v>
      </c>
      <c r="J5" s="13">
        <v>5.7</v>
      </c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3">
        <v>2009</v>
      </c>
      <c r="B6" s="13">
        <v>5.3</v>
      </c>
      <c r="C6" s="13">
        <v>11.4</v>
      </c>
      <c r="D6" s="13">
        <v>54.5</v>
      </c>
      <c r="E6" s="13">
        <v>15.4</v>
      </c>
      <c r="F6" s="13">
        <v>1.4</v>
      </c>
      <c r="G6" s="13">
        <v>0.5</v>
      </c>
      <c r="H6" s="13">
        <v>5.5</v>
      </c>
      <c r="I6" s="13">
        <v>0</v>
      </c>
      <c r="J6" s="13">
        <v>6</v>
      </c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>
      <c r="A7" s="13">
        <v>2010</v>
      </c>
      <c r="B7" s="13">
        <v>5.5</v>
      </c>
      <c r="C7" s="13">
        <v>12</v>
      </c>
      <c r="D7" s="13">
        <v>53.5</v>
      </c>
      <c r="E7" s="13">
        <v>15</v>
      </c>
      <c r="F7" s="13">
        <v>1.8</v>
      </c>
      <c r="G7" s="13">
        <v>0.7</v>
      </c>
      <c r="H7" s="13">
        <v>5</v>
      </c>
      <c r="I7" s="13">
        <v>0</v>
      </c>
      <c r="J7" s="13">
        <v>6.5</v>
      </c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>
      <c r="A8" s="13">
        <v>2011</v>
      </c>
      <c r="B8" s="13">
        <v>4.3</v>
      </c>
      <c r="C8" s="13">
        <v>11.7</v>
      </c>
      <c r="D8" s="13">
        <v>54.6</v>
      </c>
      <c r="E8" s="13">
        <v>14.6</v>
      </c>
      <c r="F8" s="13">
        <v>2.6</v>
      </c>
      <c r="G8" s="13">
        <v>0.5</v>
      </c>
      <c r="H8" s="13">
        <v>4.8</v>
      </c>
      <c r="I8" s="13">
        <v>0</v>
      </c>
      <c r="J8" s="13">
        <v>6.8</v>
      </c>
      <c r="K8" s="13"/>
      <c r="L8" s="13"/>
      <c r="M8" s="13"/>
      <c r="N8" s="13"/>
      <c r="O8" s="13"/>
      <c r="P8" s="13"/>
      <c r="Q8" s="13"/>
      <c r="R8" s="13"/>
      <c r="S8" s="13"/>
      <c r="T8" s="13"/>
    </row>
    <row r="9" spans="1:20">
      <c r="A9" s="13">
        <v>2012</v>
      </c>
      <c r="B9" s="13">
        <v>4.5</v>
      </c>
      <c r="C9" s="13">
        <v>12.4</v>
      </c>
      <c r="D9" s="13">
        <v>53.3</v>
      </c>
      <c r="E9" s="13">
        <v>15.8</v>
      </c>
      <c r="F9" s="13">
        <v>2.5</v>
      </c>
      <c r="G9" s="13">
        <v>0.6</v>
      </c>
      <c r="H9" s="13">
        <v>4.5</v>
      </c>
      <c r="I9" s="13">
        <v>0</v>
      </c>
      <c r="J9" s="13">
        <v>6.4</v>
      </c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pans="1:20">
      <c r="A10" s="13">
        <v>2013</v>
      </c>
      <c r="B10" s="13">
        <v>4.5999999999999996</v>
      </c>
      <c r="C10" s="13">
        <v>12.4</v>
      </c>
      <c r="D10" s="13">
        <v>53.3</v>
      </c>
      <c r="E10" s="13">
        <v>15.7</v>
      </c>
      <c r="F10" s="13">
        <v>2.2000000000000002</v>
      </c>
      <c r="G10" s="13">
        <v>0.5</v>
      </c>
      <c r="H10" s="13">
        <v>4</v>
      </c>
      <c r="I10" s="13">
        <v>0</v>
      </c>
      <c r="J10" s="13">
        <v>7.3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>
      <c r="A11" s="13">
        <v>2014</v>
      </c>
      <c r="B11" s="13">
        <v>4.4000000000000004</v>
      </c>
      <c r="C11" s="13">
        <v>11.9</v>
      </c>
      <c r="D11" s="13">
        <v>53.3</v>
      </c>
      <c r="E11" s="13">
        <v>16.2</v>
      </c>
      <c r="F11" s="13">
        <v>2.1</v>
      </c>
      <c r="G11" s="13">
        <v>0.5</v>
      </c>
      <c r="H11" s="13">
        <v>3.9</v>
      </c>
      <c r="I11" s="13">
        <v>0</v>
      </c>
      <c r="J11" s="13">
        <v>7.7</v>
      </c>
    </row>
    <row r="12" spans="1:20">
      <c r="A12" s="13">
        <v>2015</v>
      </c>
      <c r="B12" s="13">
        <v>3.4</v>
      </c>
      <c r="C12" s="13">
        <v>11.4</v>
      </c>
      <c r="D12" s="13">
        <v>54.5</v>
      </c>
      <c r="E12" s="13">
        <v>16</v>
      </c>
      <c r="F12" s="13">
        <v>2.2000000000000002</v>
      </c>
      <c r="G12" s="13">
        <v>0.5</v>
      </c>
      <c r="H12" s="13">
        <v>4</v>
      </c>
      <c r="I12" s="13">
        <v>0</v>
      </c>
      <c r="J12" s="13">
        <v>7.9</v>
      </c>
    </row>
    <row r="13" spans="1:20">
      <c r="A13" s="13">
        <v>2016</v>
      </c>
      <c r="B13" s="13">
        <v>3.9</v>
      </c>
      <c r="C13" s="13">
        <v>11.1</v>
      </c>
      <c r="D13" s="13">
        <v>54.4</v>
      </c>
      <c r="E13" s="13">
        <v>16.3</v>
      </c>
      <c r="F13" s="13">
        <v>1.9</v>
      </c>
      <c r="G13" s="13">
        <v>0.5</v>
      </c>
      <c r="H13" s="13">
        <v>4.2</v>
      </c>
      <c r="I13" s="13">
        <v>0</v>
      </c>
      <c r="J13" s="13">
        <v>7.6</v>
      </c>
    </row>
    <row r="14" spans="1:20">
      <c r="A14" s="13">
        <v>2017</v>
      </c>
      <c r="B14" s="13">
        <v>4</v>
      </c>
      <c r="C14" s="13">
        <v>11.6</v>
      </c>
      <c r="D14" s="13">
        <v>54.4</v>
      </c>
      <c r="E14" s="13">
        <v>15.5</v>
      </c>
      <c r="F14" s="13">
        <v>2.1</v>
      </c>
      <c r="G14" s="13">
        <v>0.5</v>
      </c>
      <c r="H14" s="13">
        <v>4.4000000000000004</v>
      </c>
      <c r="I14" s="13">
        <v>0</v>
      </c>
      <c r="J14" s="13">
        <v>7.5</v>
      </c>
    </row>
    <row r="15" spans="1:20">
      <c r="A15" s="13">
        <v>2018</v>
      </c>
      <c r="B15" s="13">
        <v>4.2</v>
      </c>
      <c r="C15" s="13">
        <v>11.2</v>
      </c>
      <c r="D15" s="13">
        <v>54.9</v>
      </c>
      <c r="E15" s="13">
        <v>14.9</v>
      </c>
      <c r="F15" s="13">
        <v>2.1</v>
      </c>
      <c r="G15" s="13">
        <v>0.5</v>
      </c>
      <c r="H15" s="13">
        <v>4.3</v>
      </c>
      <c r="I15" s="13">
        <v>0</v>
      </c>
      <c r="J15" s="13">
        <v>7.9</v>
      </c>
    </row>
    <row r="16" spans="1:20">
      <c r="A16" s="13">
        <v>2019</v>
      </c>
      <c r="B16" s="13">
        <v>3.9</v>
      </c>
      <c r="C16" s="13">
        <v>11.7</v>
      </c>
      <c r="D16" s="13">
        <v>55.7</v>
      </c>
      <c r="E16" s="13">
        <v>13.8</v>
      </c>
      <c r="F16" s="13">
        <v>2.2999999999999998</v>
      </c>
      <c r="G16" s="13">
        <v>0.6</v>
      </c>
      <c r="H16" s="13">
        <v>4.4000000000000004</v>
      </c>
      <c r="I16" s="13">
        <v>0</v>
      </c>
      <c r="J16" s="13">
        <v>7.5</v>
      </c>
    </row>
    <row r="17" spans="1:10">
      <c r="A17" s="13">
        <v>2020</v>
      </c>
      <c r="B17" s="13">
        <v>3.3</v>
      </c>
      <c r="C17" s="13">
        <v>9.1</v>
      </c>
      <c r="D17" s="13">
        <v>57.9</v>
      </c>
      <c r="E17" s="13">
        <v>13.4</v>
      </c>
      <c r="F17" s="13">
        <v>3.2</v>
      </c>
      <c r="G17" s="13">
        <v>0.5</v>
      </c>
      <c r="H17" s="13">
        <v>7.1</v>
      </c>
      <c r="I17" s="13">
        <v>0</v>
      </c>
      <c r="J17" s="13">
        <v>5.4</v>
      </c>
    </row>
    <row r="18" spans="1:10">
      <c r="A18" s="13">
        <v>2021</v>
      </c>
      <c r="B18" s="13">
        <v>2.4</v>
      </c>
      <c r="C18" s="13">
        <v>12.3</v>
      </c>
      <c r="D18" s="13">
        <v>66.3</v>
      </c>
      <c r="E18" s="13">
        <v>11</v>
      </c>
      <c r="F18" s="13">
        <v>4.9000000000000004</v>
      </c>
      <c r="G18" s="13">
        <v>0.2</v>
      </c>
      <c r="H18" s="13">
        <v>0.5</v>
      </c>
      <c r="I18" s="13">
        <v>0</v>
      </c>
      <c r="J18" s="13">
        <v>2.2999999999999998</v>
      </c>
    </row>
    <row r="19" spans="1:10">
      <c r="A19" s="13">
        <v>2022</v>
      </c>
      <c r="B19" s="13">
        <v>2.4</v>
      </c>
      <c r="C19" s="13">
        <v>4.7</v>
      </c>
      <c r="D19" s="13">
        <v>73.099999999999994</v>
      </c>
      <c r="E19" s="13">
        <v>10.3</v>
      </c>
      <c r="F19" s="13">
        <v>2.9</v>
      </c>
      <c r="G19" s="13">
        <v>0.4</v>
      </c>
      <c r="H19" s="13">
        <v>0.7</v>
      </c>
      <c r="I19" s="13">
        <v>0</v>
      </c>
      <c r="J19" s="13">
        <v>5.5</v>
      </c>
    </row>
    <row r="20" spans="1:10">
      <c r="A20" s="13">
        <v>2023</v>
      </c>
      <c r="B20" s="13">
        <v>3.3</v>
      </c>
      <c r="C20" s="13">
        <v>9.4</v>
      </c>
      <c r="D20" s="13">
        <v>64.400000000000006</v>
      </c>
      <c r="E20" s="13">
        <v>10.7</v>
      </c>
      <c r="F20" s="13">
        <v>2.5</v>
      </c>
      <c r="G20" s="13">
        <v>0.5</v>
      </c>
      <c r="H20" s="13">
        <v>3.2</v>
      </c>
      <c r="I20" s="13">
        <v>0</v>
      </c>
      <c r="J20" s="13">
        <v>6</v>
      </c>
    </row>
    <row r="21" spans="1:10">
      <c r="A21" s="13">
        <v>2024</v>
      </c>
      <c r="B21" s="13">
        <v>3</v>
      </c>
      <c r="C21" s="13">
        <v>10.199999999999999</v>
      </c>
      <c r="D21" s="13">
        <v>64.099999999999994</v>
      </c>
      <c r="E21" s="13">
        <v>10.6</v>
      </c>
      <c r="F21" s="13">
        <v>1.6</v>
      </c>
      <c r="G21" s="13">
        <v>0.6</v>
      </c>
      <c r="H21" s="13">
        <v>3.3</v>
      </c>
      <c r="I21" s="13">
        <v>0</v>
      </c>
      <c r="J21" s="13">
        <v>6.5</v>
      </c>
    </row>
    <row r="22" spans="1:10"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B23" s="13"/>
      <c r="C23" s="13"/>
      <c r="D23" s="13"/>
      <c r="E23" s="13"/>
      <c r="F23" s="13"/>
      <c r="G23" s="13"/>
      <c r="H23" s="13"/>
      <c r="I23" s="13"/>
      <c r="J23" s="13"/>
    </row>
    <row r="24" spans="1:10"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B25" s="13"/>
      <c r="C25" s="13"/>
      <c r="D25" s="13"/>
      <c r="E25" s="13"/>
      <c r="F25" s="13"/>
      <c r="G25" s="13"/>
      <c r="H25" s="13"/>
      <c r="I25" s="13"/>
      <c r="J25" s="13"/>
    </row>
    <row r="26" spans="1:10">
      <c r="B26" s="13"/>
      <c r="C26" s="13"/>
      <c r="D26" s="13"/>
      <c r="E26" s="13"/>
      <c r="F26" s="13"/>
      <c r="G26" s="13"/>
      <c r="H26" s="13"/>
      <c r="I26" s="13"/>
      <c r="J26" s="13"/>
    </row>
    <row r="27" spans="1:10">
      <c r="B27" s="13"/>
      <c r="C27" s="13"/>
      <c r="D27" s="13"/>
      <c r="E27" s="13"/>
      <c r="F27" s="13"/>
      <c r="G27" s="13"/>
      <c r="H27" s="13"/>
      <c r="I27" s="13"/>
      <c r="J27" s="13"/>
    </row>
    <row r="28" spans="1:10">
      <c r="B28" s="13"/>
      <c r="C28" s="13"/>
      <c r="D28" s="13"/>
      <c r="E28" s="13"/>
      <c r="F28" s="13"/>
      <c r="G28" s="13"/>
      <c r="H28" s="13"/>
      <c r="I28" s="13"/>
      <c r="J28" s="13"/>
    </row>
    <row r="29" spans="1:10">
      <c r="B29" s="13"/>
      <c r="C29" s="13"/>
      <c r="D29" s="13"/>
      <c r="E29" s="13"/>
      <c r="F29" s="13"/>
      <c r="G29" s="13"/>
      <c r="H29" s="13"/>
      <c r="I29" s="13"/>
      <c r="J29" s="13"/>
    </row>
    <row r="30" spans="1:10">
      <c r="B30" s="13"/>
      <c r="C30" s="13"/>
      <c r="D30" s="13"/>
      <c r="E30" s="13"/>
      <c r="F30" s="13"/>
      <c r="G30" s="13"/>
      <c r="H30" s="13"/>
      <c r="I30" s="13"/>
      <c r="J30" s="13"/>
    </row>
    <row r="31" spans="1:10">
      <c r="B31" s="13"/>
      <c r="C31" s="13"/>
      <c r="D31" s="13"/>
      <c r="E31" s="13"/>
      <c r="F31" s="13"/>
      <c r="G31" s="13"/>
      <c r="H31" s="13"/>
      <c r="I31" s="13"/>
      <c r="J31" s="1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9"/>
  <dimension ref="A1:U25"/>
  <sheetViews>
    <sheetView zoomScale="88" workbookViewId="0">
      <selection activeCell="A2" sqref="A2"/>
    </sheetView>
  </sheetViews>
  <sheetFormatPr baseColWidth="10" defaultColWidth="8.83203125" defaultRowHeight="15"/>
  <sheetData>
    <row r="1" spans="1:21">
      <c r="A1" s="7" t="s">
        <v>0</v>
      </c>
      <c r="B1" s="7" t="s">
        <v>30</v>
      </c>
      <c r="C1" s="7" t="s">
        <v>68</v>
      </c>
      <c r="D1" s="7" t="s">
        <v>71</v>
      </c>
      <c r="E1" s="7" t="s">
        <v>61</v>
      </c>
      <c r="F1" s="7" t="s">
        <v>443</v>
      </c>
      <c r="G1" s="7" t="s">
        <v>446</v>
      </c>
      <c r="H1" s="7" t="s">
        <v>447</v>
      </c>
      <c r="I1" s="7" t="s">
        <v>59</v>
      </c>
      <c r="J1" s="7" t="s">
        <v>315</v>
      </c>
      <c r="K1" s="7" t="s">
        <v>448</v>
      </c>
      <c r="L1" s="7" t="s">
        <v>334</v>
      </c>
      <c r="M1" s="7" t="s">
        <v>336</v>
      </c>
      <c r="N1" s="7" t="s">
        <v>163</v>
      </c>
      <c r="O1" s="7" t="s">
        <v>55</v>
      </c>
      <c r="P1" s="7" t="s">
        <v>69</v>
      </c>
      <c r="Q1" s="7" t="s">
        <v>318</v>
      </c>
      <c r="R1" s="7" t="s">
        <v>58</v>
      </c>
      <c r="S1" s="7" t="s">
        <v>241</v>
      </c>
      <c r="T1" s="7" t="s">
        <v>444</v>
      </c>
      <c r="U1" s="7" t="s">
        <v>445</v>
      </c>
    </row>
    <row r="2" spans="1:21">
      <c r="A2" s="7">
        <v>2000</v>
      </c>
      <c r="B2" s="7"/>
      <c r="C2" s="7">
        <v>-59904</v>
      </c>
      <c r="D2" s="7">
        <v>-8687</v>
      </c>
      <c r="E2" s="7">
        <v>-66099</v>
      </c>
      <c r="F2" s="7">
        <v>-12210</v>
      </c>
      <c r="G2" s="7">
        <v>-35570</v>
      </c>
      <c r="H2" s="7"/>
      <c r="I2" s="7"/>
      <c r="J2" s="7"/>
      <c r="K2" s="7">
        <v>-10710</v>
      </c>
      <c r="L2" s="7">
        <v>16697</v>
      </c>
      <c r="M2" s="7"/>
      <c r="N2" s="7"/>
      <c r="O2" s="7"/>
      <c r="P2" s="7">
        <v>5338</v>
      </c>
      <c r="Q2" s="7">
        <v>9550</v>
      </c>
      <c r="R2" s="7">
        <v>87104</v>
      </c>
      <c r="S2" s="7">
        <v>100060</v>
      </c>
      <c r="T2" s="7">
        <v>201670</v>
      </c>
      <c r="U2" s="7"/>
    </row>
    <row r="3" spans="1:21">
      <c r="A3" s="7">
        <v>2001</v>
      </c>
      <c r="B3" s="7"/>
      <c r="C3" s="7">
        <v>-76464</v>
      </c>
      <c r="D3" s="7">
        <v>-10061</v>
      </c>
      <c r="E3" s="7">
        <v>-72474</v>
      </c>
      <c r="F3" s="7">
        <v>-17731</v>
      </c>
      <c r="G3" s="7">
        <v>-38471</v>
      </c>
      <c r="H3" s="7"/>
      <c r="I3" s="7"/>
      <c r="J3" s="7"/>
      <c r="K3" s="7">
        <v>-11524</v>
      </c>
      <c r="L3" s="7">
        <v>17787</v>
      </c>
      <c r="M3" s="7"/>
      <c r="N3" s="7"/>
      <c r="O3" s="7"/>
      <c r="P3" s="7">
        <v>8408</v>
      </c>
      <c r="Q3" s="7">
        <v>31327</v>
      </c>
      <c r="R3" s="7">
        <v>94683</v>
      </c>
      <c r="S3" s="7">
        <v>115105</v>
      </c>
      <c r="T3" s="7">
        <v>200779</v>
      </c>
      <c r="U3" s="7"/>
    </row>
    <row r="4" spans="1:21">
      <c r="A4" s="7">
        <v>2002</v>
      </c>
      <c r="B4" s="7"/>
      <c r="C4" s="7">
        <v>-95829</v>
      </c>
      <c r="D4" s="7">
        <v>-11605</v>
      </c>
      <c r="E4" s="7">
        <v>-78174</v>
      </c>
      <c r="F4" s="7"/>
      <c r="G4" s="7"/>
      <c r="H4" s="7"/>
      <c r="I4" s="7">
        <v>-20462</v>
      </c>
      <c r="J4" s="7"/>
      <c r="K4" s="7"/>
      <c r="L4" s="7">
        <v>14344</v>
      </c>
      <c r="M4" s="7"/>
      <c r="N4" s="7"/>
      <c r="O4" s="7"/>
      <c r="P4" s="7">
        <v>11768</v>
      </c>
      <c r="Q4" s="7">
        <v>35112</v>
      </c>
      <c r="R4" s="7">
        <v>110146</v>
      </c>
      <c r="S4" s="7">
        <v>173520</v>
      </c>
      <c r="T4" s="7">
        <v>198386</v>
      </c>
      <c r="U4" s="7"/>
    </row>
    <row r="5" spans="1:21">
      <c r="A5" s="7">
        <v>2003</v>
      </c>
      <c r="B5" s="7"/>
      <c r="C5" s="7">
        <v>-112309</v>
      </c>
      <c r="D5" s="7">
        <v>-14184</v>
      </c>
      <c r="E5" s="7">
        <v>-79628</v>
      </c>
      <c r="F5" s="7">
        <v>-19212</v>
      </c>
      <c r="G5" s="7">
        <v>-46691</v>
      </c>
      <c r="H5" s="7"/>
      <c r="I5" s="7">
        <v>-21464</v>
      </c>
      <c r="J5" s="7">
        <v>-17817</v>
      </c>
      <c r="K5" s="7"/>
      <c r="L5" s="7">
        <v>16637</v>
      </c>
      <c r="M5" s="7"/>
      <c r="N5" s="7"/>
      <c r="O5" s="7"/>
      <c r="P5" s="7">
        <v>19358</v>
      </c>
      <c r="Q5" s="7">
        <v>32182</v>
      </c>
      <c r="R5" s="7">
        <v>164696</v>
      </c>
      <c r="S5" s="7">
        <v>181660</v>
      </c>
      <c r="T5" s="7">
        <v>225538</v>
      </c>
      <c r="U5" s="7"/>
    </row>
    <row r="6" spans="1:21">
      <c r="A6" s="7">
        <v>2004</v>
      </c>
      <c r="B6" s="7"/>
      <c r="C6" s="7">
        <v>-127872</v>
      </c>
      <c r="D6" s="7"/>
      <c r="E6" s="7">
        <v>-78598</v>
      </c>
      <c r="F6" s="7">
        <v>-18837</v>
      </c>
      <c r="G6" s="7">
        <v>-37548</v>
      </c>
      <c r="H6" s="7"/>
      <c r="I6" s="7">
        <v>-21164</v>
      </c>
      <c r="J6" s="7">
        <v>-19053</v>
      </c>
      <c r="K6" s="7">
        <v>-12659</v>
      </c>
      <c r="L6" s="7">
        <v>20046</v>
      </c>
      <c r="M6" s="7"/>
      <c r="N6" s="7"/>
      <c r="O6" s="7"/>
      <c r="P6" s="7">
        <v>24828</v>
      </c>
      <c r="Q6" s="7">
        <v>39868</v>
      </c>
      <c r="R6" s="7">
        <v>191533</v>
      </c>
      <c r="S6" s="7">
        <v>157831</v>
      </c>
      <c r="T6" s="7">
        <v>276708</v>
      </c>
      <c r="U6" s="7"/>
    </row>
    <row r="7" spans="1:21">
      <c r="A7" s="7">
        <v>2005</v>
      </c>
      <c r="B7" s="7"/>
      <c r="C7" s="7">
        <v>-136196</v>
      </c>
      <c r="D7" s="7">
        <v>-18167</v>
      </c>
      <c r="E7" s="7">
        <v>-78533</v>
      </c>
      <c r="F7" s="7">
        <v>-20010</v>
      </c>
      <c r="G7" s="7">
        <v>-36021</v>
      </c>
      <c r="H7" s="7"/>
      <c r="I7" s="7"/>
      <c r="J7" s="7">
        <v>-21346</v>
      </c>
      <c r="K7" s="7"/>
      <c r="L7" s="7"/>
      <c r="M7" s="7"/>
      <c r="N7" s="7"/>
      <c r="O7" s="7"/>
      <c r="P7" s="7">
        <v>25637</v>
      </c>
      <c r="Q7" s="7">
        <v>53637</v>
      </c>
      <c r="R7" s="7">
        <v>187746</v>
      </c>
      <c r="S7" s="7">
        <v>167373</v>
      </c>
      <c r="T7" s="7">
        <v>295790</v>
      </c>
      <c r="U7" s="7">
        <v>532120</v>
      </c>
    </row>
    <row r="8" spans="1:21">
      <c r="A8" s="7">
        <v>2006</v>
      </c>
      <c r="B8" s="7">
        <v>-338174</v>
      </c>
      <c r="C8" s="7">
        <v>-135340</v>
      </c>
      <c r="D8" s="7"/>
      <c r="E8" s="7">
        <v>-77339</v>
      </c>
      <c r="F8" s="7">
        <v>-16323</v>
      </c>
      <c r="G8" s="7">
        <v>-36098</v>
      </c>
      <c r="H8" s="7">
        <v>-29164</v>
      </c>
      <c r="I8" s="7"/>
      <c r="J8" s="7">
        <v>-22701</v>
      </c>
      <c r="K8" s="7"/>
      <c r="L8" s="7">
        <v>25739</v>
      </c>
      <c r="M8" s="7"/>
      <c r="N8" s="7"/>
      <c r="O8" s="7"/>
      <c r="P8" s="7">
        <v>23918</v>
      </c>
      <c r="Q8" s="7">
        <v>38143</v>
      </c>
      <c r="R8" s="7">
        <v>194013</v>
      </c>
      <c r="S8" s="7">
        <v>174800</v>
      </c>
      <c r="T8" s="7">
        <v>307229</v>
      </c>
      <c r="U8" s="7"/>
    </row>
    <row r="9" spans="1:21">
      <c r="A9" s="7">
        <v>2007</v>
      </c>
      <c r="B9" s="7">
        <v>-369689</v>
      </c>
      <c r="C9" s="7"/>
      <c r="D9" s="7">
        <v>-25484</v>
      </c>
      <c r="E9" s="7">
        <v>-74137</v>
      </c>
      <c r="F9" s="7">
        <v>-17401</v>
      </c>
      <c r="G9" s="7">
        <v>-32516</v>
      </c>
      <c r="H9" s="7">
        <v>-31816</v>
      </c>
      <c r="I9" s="7"/>
      <c r="J9" s="7">
        <v>-27311</v>
      </c>
      <c r="K9" s="7">
        <v>-14821</v>
      </c>
      <c r="L9" s="7">
        <v>29659</v>
      </c>
      <c r="M9" s="7"/>
      <c r="N9" s="7"/>
      <c r="O9" s="7"/>
      <c r="P9" s="7">
        <v>47428</v>
      </c>
      <c r="Q9" s="7">
        <v>19201</v>
      </c>
      <c r="R9" s="7">
        <v>191637</v>
      </c>
      <c r="S9" s="7">
        <v>201022</v>
      </c>
      <c r="T9" s="7">
        <v>326991</v>
      </c>
      <c r="U9" s="7"/>
    </row>
    <row r="10" spans="1:21">
      <c r="A10" s="7">
        <v>2008</v>
      </c>
      <c r="B10" s="7">
        <v>-396067</v>
      </c>
      <c r="C10" s="7"/>
      <c r="D10" s="7">
        <v>-33065</v>
      </c>
      <c r="E10" s="7">
        <v>-71095</v>
      </c>
      <c r="F10" s="7">
        <v>-35881</v>
      </c>
      <c r="G10" s="7">
        <v>-33487</v>
      </c>
      <c r="H10" s="7">
        <v>-31144</v>
      </c>
      <c r="I10" s="7"/>
      <c r="J10" s="7">
        <v>-31911</v>
      </c>
      <c r="K10" s="7">
        <v>-15681</v>
      </c>
      <c r="L10" s="7">
        <v>39635.25</v>
      </c>
      <c r="M10" s="7"/>
      <c r="N10" s="7"/>
      <c r="O10" s="7"/>
      <c r="P10" s="7">
        <v>47718</v>
      </c>
      <c r="Q10" s="7">
        <v>92196</v>
      </c>
      <c r="R10" s="7">
        <v>196220</v>
      </c>
      <c r="S10" s="7">
        <v>220651</v>
      </c>
      <c r="T10" s="7">
        <v>319716</v>
      </c>
      <c r="U10" s="7"/>
    </row>
    <row r="11" spans="1:21">
      <c r="A11" s="7">
        <v>2009</v>
      </c>
      <c r="B11" s="7">
        <v>-447534</v>
      </c>
      <c r="C11" s="7"/>
      <c r="D11" s="7">
        <v>-39604</v>
      </c>
      <c r="E11" s="7">
        <v>-68640</v>
      </c>
      <c r="F11" s="7">
        <v>-25473</v>
      </c>
      <c r="G11" s="7">
        <v>-33799</v>
      </c>
      <c r="H11" s="7">
        <v>-28684</v>
      </c>
      <c r="I11" s="7">
        <v>-15340</v>
      </c>
      <c r="J11" s="7">
        <v>-38254</v>
      </c>
      <c r="K11" s="7">
        <v>-17062</v>
      </c>
      <c r="L11" s="7">
        <v>45575</v>
      </c>
      <c r="M11" s="7"/>
      <c r="N11" s="7"/>
      <c r="O11" s="7"/>
      <c r="P11" s="7">
        <v>48568</v>
      </c>
      <c r="Q11" s="7">
        <v>82534</v>
      </c>
      <c r="R11" s="7">
        <v>195660</v>
      </c>
      <c r="S11" s="7">
        <v>247228</v>
      </c>
      <c r="T11" s="7">
        <v>345114</v>
      </c>
      <c r="U11" s="7"/>
    </row>
    <row r="12" spans="1:21">
      <c r="A12" s="7">
        <v>2010</v>
      </c>
      <c r="B12" s="7">
        <v>-509443</v>
      </c>
      <c r="C12" s="7"/>
      <c r="D12" s="7">
        <v>-44069</v>
      </c>
      <c r="E12" s="7">
        <v>-58982</v>
      </c>
      <c r="F12" s="7">
        <v>-27293</v>
      </c>
      <c r="G12" s="7">
        <v>-34202</v>
      </c>
      <c r="H12" s="7">
        <v>-23920</v>
      </c>
      <c r="I12" s="7">
        <v>-19070</v>
      </c>
      <c r="J12" s="7">
        <v>-41309</v>
      </c>
      <c r="K12" s="7">
        <v>-16726</v>
      </c>
      <c r="L12" s="7">
        <v>54127</v>
      </c>
      <c r="M12" s="7"/>
      <c r="N12" s="7"/>
      <c r="O12" s="7"/>
      <c r="P12" s="7">
        <v>59394</v>
      </c>
      <c r="Q12" s="7"/>
      <c r="R12" s="7">
        <v>202511</v>
      </c>
      <c r="S12" s="7">
        <v>260419</v>
      </c>
      <c r="T12" s="7">
        <v>365317</v>
      </c>
      <c r="U12" s="7"/>
    </row>
    <row r="13" spans="1:21">
      <c r="A13" s="7">
        <v>2011</v>
      </c>
      <c r="B13" s="7">
        <v>-556624</v>
      </c>
      <c r="C13" s="7">
        <v>-177631</v>
      </c>
      <c r="D13" s="7">
        <v>-47702</v>
      </c>
      <c r="E13" s="7">
        <v>-54741</v>
      </c>
      <c r="F13" s="7">
        <v>-31883</v>
      </c>
      <c r="G13" s="7"/>
      <c r="H13" s="7">
        <v>-22759</v>
      </c>
      <c r="I13" s="7">
        <v>-22201</v>
      </c>
      <c r="J13" s="7">
        <v>-46371</v>
      </c>
      <c r="K13" s="7">
        <v>-17906</v>
      </c>
      <c r="L13" s="7">
        <v>55523</v>
      </c>
      <c r="M13" s="7">
        <v>40386</v>
      </c>
      <c r="N13" s="7"/>
      <c r="O13" s="7"/>
      <c r="P13" s="7">
        <v>74014</v>
      </c>
      <c r="Q13" s="7">
        <v>114189</v>
      </c>
      <c r="R13" s="7">
        <v>207917</v>
      </c>
      <c r="S13" s="7">
        <v>251808</v>
      </c>
      <c r="T13" s="7">
        <v>391140</v>
      </c>
      <c r="U13" s="7"/>
    </row>
    <row r="14" spans="1:21">
      <c r="A14" s="7">
        <v>2012</v>
      </c>
      <c r="B14" s="7">
        <v>-589034</v>
      </c>
      <c r="C14" s="7">
        <v>-165770</v>
      </c>
      <c r="D14" s="7">
        <v>-49450</v>
      </c>
      <c r="E14" s="7">
        <v>-53329</v>
      </c>
      <c r="F14" s="7">
        <v>-33462</v>
      </c>
      <c r="G14" s="7"/>
      <c r="H14" s="7">
        <v>-18693</v>
      </c>
      <c r="I14" s="7">
        <v>-23300</v>
      </c>
      <c r="J14" s="7">
        <v>-47322</v>
      </c>
      <c r="K14" s="7">
        <v>-20301</v>
      </c>
      <c r="L14" s="7">
        <v>42438</v>
      </c>
      <c r="M14" s="7">
        <v>45772</v>
      </c>
      <c r="N14" s="7"/>
      <c r="O14" s="7"/>
      <c r="P14" s="7">
        <v>88219</v>
      </c>
      <c r="Q14" s="7">
        <v>122745</v>
      </c>
      <c r="R14" s="7">
        <v>207049</v>
      </c>
      <c r="S14" s="7">
        <v>238245</v>
      </c>
      <c r="T14" s="7">
        <v>401059</v>
      </c>
      <c r="U14" s="7"/>
    </row>
    <row r="15" spans="1:21">
      <c r="A15" s="7">
        <v>2013</v>
      </c>
      <c r="B15" s="7">
        <v>-624037</v>
      </c>
      <c r="C15" s="7">
        <v>-160801</v>
      </c>
      <c r="D15" s="7">
        <v>-52442</v>
      </c>
      <c r="E15" s="7">
        <v>-58263</v>
      </c>
      <c r="F15" s="7">
        <v>-45443</v>
      </c>
      <c r="G15" s="7">
        <v>-30304</v>
      </c>
      <c r="H15" s="7">
        <v>-19771</v>
      </c>
      <c r="I15" s="7"/>
      <c r="J15" s="7">
        <v>-42397</v>
      </c>
      <c r="K15" s="7">
        <v>-22133</v>
      </c>
      <c r="L15" s="7">
        <v>54942.25</v>
      </c>
      <c r="M15" s="7"/>
      <c r="N15" s="7">
        <v>102344</v>
      </c>
      <c r="O15" s="7">
        <v>76085</v>
      </c>
      <c r="P15" s="7">
        <v>104594</v>
      </c>
      <c r="Q15" s="7"/>
      <c r="R15" s="7">
        <v>151740</v>
      </c>
      <c r="S15" s="7">
        <v>237709</v>
      </c>
      <c r="T15" s="7">
        <v>388210</v>
      </c>
      <c r="U15" s="7">
        <v>708565</v>
      </c>
    </row>
    <row r="16" spans="1:21">
      <c r="A16" s="7">
        <v>2014</v>
      </c>
      <c r="B16" s="7">
        <v>-663395</v>
      </c>
      <c r="C16" s="7">
        <v>-181577</v>
      </c>
      <c r="D16" s="7">
        <v>-56994</v>
      </c>
      <c r="E16" s="7">
        <v>-57567</v>
      </c>
      <c r="F16" s="7">
        <v>-55985</v>
      </c>
      <c r="G16" s="7">
        <v>-28057</v>
      </c>
      <c r="H16" s="7">
        <v>-25399</v>
      </c>
      <c r="I16" s="7">
        <v>-26084</v>
      </c>
      <c r="J16" s="7">
        <v>-40185</v>
      </c>
      <c r="K16" s="7">
        <v>-25321</v>
      </c>
      <c r="L16" s="7">
        <v>48558.972659999999</v>
      </c>
      <c r="M16" s="7"/>
      <c r="N16" s="7">
        <v>98761</v>
      </c>
      <c r="O16" s="7">
        <v>92009</v>
      </c>
      <c r="P16" s="7">
        <v>116812</v>
      </c>
      <c r="Q16" s="7">
        <v>157524</v>
      </c>
      <c r="R16" s="7">
        <v>152880</v>
      </c>
      <c r="S16" s="7">
        <v>253394</v>
      </c>
      <c r="T16" s="7">
        <v>398617</v>
      </c>
      <c r="U16" s="7">
        <v>764288</v>
      </c>
    </row>
    <row r="17" spans="1:21">
      <c r="A17" s="7">
        <v>2015</v>
      </c>
      <c r="B17" s="7">
        <v>-697323</v>
      </c>
      <c r="C17" s="7">
        <v>-218244</v>
      </c>
      <c r="D17" s="7">
        <v>-65235</v>
      </c>
      <c r="E17" s="7">
        <v>-53199</v>
      </c>
      <c r="F17" s="7">
        <v>-68163</v>
      </c>
      <c r="G17" s="7">
        <v>-29392</v>
      </c>
      <c r="H17" s="7">
        <v>-27280</v>
      </c>
      <c r="I17" s="7">
        <v>-30520</v>
      </c>
      <c r="J17" s="7">
        <v>-38084</v>
      </c>
      <c r="K17" s="7">
        <v>-27107</v>
      </c>
      <c r="L17" s="7">
        <v>50254.347659999999</v>
      </c>
      <c r="M17" s="7"/>
      <c r="N17" s="7">
        <v>101384</v>
      </c>
      <c r="O17" s="7">
        <v>111640</v>
      </c>
      <c r="P17" s="7">
        <v>121829</v>
      </c>
      <c r="Q17" s="7">
        <v>169134</v>
      </c>
      <c r="R17" s="7">
        <v>152599</v>
      </c>
      <c r="S17" s="7">
        <v>281920</v>
      </c>
      <c r="T17" s="7">
        <v>399485</v>
      </c>
      <c r="U17" s="7">
        <v>826623</v>
      </c>
    </row>
    <row r="18" spans="1:21">
      <c r="A18" s="7">
        <v>2016</v>
      </c>
      <c r="B18" s="7">
        <v>-731403</v>
      </c>
      <c r="C18" s="7">
        <v>-263223</v>
      </c>
      <c r="D18" s="7">
        <v>-77127</v>
      </c>
      <c r="E18" s="7">
        <v>-43430</v>
      </c>
      <c r="F18" s="7">
        <v>-77571</v>
      </c>
      <c r="G18" s="7">
        <v>-30327</v>
      </c>
      <c r="H18" s="7">
        <v>-32094</v>
      </c>
      <c r="I18" s="7">
        <v>-31939</v>
      </c>
      <c r="J18" s="7">
        <v>-34855</v>
      </c>
      <c r="K18" s="7">
        <v>-28913</v>
      </c>
      <c r="L18" s="7">
        <v>52281.496090000001</v>
      </c>
      <c r="M18" s="7"/>
      <c r="N18" s="7">
        <v>111766</v>
      </c>
      <c r="O18" s="7">
        <v>126476</v>
      </c>
      <c r="P18" s="7">
        <v>139070</v>
      </c>
      <c r="Q18" s="7">
        <v>186557</v>
      </c>
      <c r="R18" s="7">
        <v>154384</v>
      </c>
      <c r="S18" s="7">
        <v>322198</v>
      </c>
      <c r="T18" s="7">
        <v>397692</v>
      </c>
      <c r="U18" s="7">
        <v>887396</v>
      </c>
    </row>
    <row r="19" spans="1:21">
      <c r="A19" s="7">
        <v>2017</v>
      </c>
      <c r="B19" s="7">
        <v>-773635</v>
      </c>
      <c r="C19" s="7">
        <v>-298480</v>
      </c>
      <c r="D19" s="7">
        <v>-90570</v>
      </c>
      <c r="E19" s="7">
        <v>-34487</v>
      </c>
      <c r="F19" s="7">
        <v>-70900</v>
      </c>
      <c r="G19" s="7">
        <v>-30906</v>
      </c>
      <c r="H19" s="7">
        <v>-34340</v>
      </c>
      <c r="I19" s="7">
        <v>-37575</v>
      </c>
      <c r="J19" s="7">
        <v>-32944</v>
      </c>
      <c r="K19" s="7">
        <v>-25815</v>
      </c>
      <c r="L19" s="7">
        <v>54632.34375</v>
      </c>
      <c r="M19" s="7"/>
      <c r="N19" s="7">
        <v>132550</v>
      </c>
      <c r="O19" s="7">
        <v>135896</v>
      </c>
      <c r="P19" s="7">
        <v>160570</v>
      </c>
      <c r="Q19" s="7">
        <v>193652</v>
      </c>
      <c r="R19" s="7">
        <v>163495</v>
      </c>
      <c r="S19" s="7">
        <v>367075</v>
      </c>
      <c r="T19" s="7">
        <v>399376</v>
      </c>
      <c r="U19" s="7">
        <v>898233.625</v>
      </c>
    </row>
    <row r="20" spans="1:21">
      <c r="A20" s="7">
        <v>2018</v>
      </c>
      <c r="B20" s="7">
        <v>-822040</v>
      </c>
      <c r="C20" s="7">
        <v>-336589</v>
      </c>
      <c r="D20" s="7"/>
      <c r="E20" s="7">
        <v>-16766</v>
      </c>
      <c r="F20" s="7">
        <v>-73678</v>
      </c>
      <c r="G20" s="7">
        <v>-32247</v>
      </c>
      <c r="H20" s="7">
        <v>-41554</v>
      </c>
      <c r="I20" s="7">
        <v>-48843</v>
      </c>
      <c r="J20" s="7">
        <v>-37071</v>
      </c>
      <c r="K20" s="7">
        <v>-28282</v>
      </c>
      <c r="L20" s="7">
        <v>53624.933590000001</v>
      </c>
      <c r="M20" s="7">
        <v>187669</v>
      </c>
      <c r="N20" s="7">
        <v>150623</v>
      </c>
      <c r="O20" s="7">
        <v>189194</v>
      </c>
      <c r="P20" s="7">
        <v>176334.3125</v>
      </c>
      <c r="Q20" s="7">
        <v>204950</v>
      </c>
      <c r="R20" s="7">
        <v>129924</v>
      </c>
      <c r="S20" s="7">
        <v>430505</v>
      </c>
      <c r="T20" s="7">
        <v>413014</v>
      </c>
      <c r="U20" s="7">
        <v>901281.625</v>
      </c>
    </row>
    <row r="21" spans="1:21">
      <c r="A21" s="7">
        <v>2019</v>
      </c>
      <c r="B21" s="7">
        <v>-861788</v>
      </c>
      <c r="C21" s="7">
        <v>-419173</v>
      </c>
      <c r="D21" s="7">
        <v>-118410</v>
      </c>
      <c r="E21" s="7">
        <v>-2531</v>
      </c>
      <c r="F21" s="7">
        <v>-66510</v>
      </c>
      <c r="G21" s="7">
        <v>-34370</v>
      </c>
      <c r="H21" s="7"/>
      <c r="I21" s="7">
        <v>-59850</v>
      </c>
      <c r="J21" s="7">
        <v>-38841</v>
      </c>
      <c r="K21" s="7">
        <v>-28690</v>
      </c>
      <c r="L21" s="7">
        <v>52399.976560000003</v>
      </c>
      <c r="M21" s="7">
        <v>191590</v>
      </c>
      <c r="N21" s="7">
        <v>170661</v>
      </c>
      <c r="O21" s="7">
        <v>210564</v>
      </c>
      <c r="P21" s="7">
        <v>230295.85939999999</v>
      </c>
      <c r="Q21" s="7">
        <v>230051</v>
      </c>
      <c r="R21" s="7">
        <v>143236</v>
      </c>
      <c r="S21" s="7">
        <v>495079</v>
      </c>
      <c r="T21" s="7">
        <v>449750</v>
      </c>
      <c r="U21" s="7">
        <v>874683.8125</v>
      </c>
    </row>
    <row r="22" spans="1:21">
      <c r="A22" s="7">
        <v>2020</v>
      </c>
      <c r="B22" s="7">
        <v>-887452</v>
      </c>
      <c r="C22" s="7">
        <v>-477929</v>
      </c>
      <c r="D22" s="7">
        <v>-130266</v>
      </c>
      <c r="E22" s="7">
        <v>9667</v>
      </c>
      <c r="F22" s="7">
        <v>-39050</v>
      </c>
      <c r="G22" s="7">
        <v>-38120</v>
      </c>
      <c r="H22" s="7"/>
      <c r="I22" s="7">
        <v>-66932</v>
      </c>
      <c r="J22" s="7">
        <v>-45025</v>
      </c>
      <c r="K22" s="7">
        <v>-29939</v>
      </c>
      <c r="L22" s="7">
        <v>51756.890630000002</v>
      </c>
      <c r="M22" s="7">
        <v>195317</v>
      </c>
      <c r="N22" s="7">
        <v>189755</v>
      </c>
      <c r="O22" s="7">
        <v>245263</v>
      </c>
      <c r="P22" s="7">
        <v>272169</v>
      </c>
      <c r="Q22" s="7">
        <v>396349</v>
      </c>
      <c r="R22" s="7">
        <v>143626</v>
      </c>
      <c r="S22" s="7">
        <v>443683</v>
      </c>
      <c r="T22" s="7">
        <v>510987</v>
      </c>
      <c r="U22" s="7">
        <v>848909.1875</v>
      </c>
    </row>
    <row r="23" spans="1:21">
      <c r="A23" s="7">
        <v>2021</v>
      </c>
      <c r="B23" s="7">
        <v>-820741</v>
      </c>
      <c r="C23" s="7">
        <v>-473917</v>
      </c>
      <c r="D23" s="7">
        <v>-130681</v>
      </c>
      <c r="E23" s="7">
        <v>29579</v>
      </c>
      <c r="F23" s="7"/>
      <c r="G23" s="7">
        <v>-46082</v>
      </c>
      <c r="H23" s="7">
        <v>-117927</v>
      </c>
      <c r="I23" s="7">
        <v>-64798</v>
      </c>
      <c r="J23" s="7"/>
      <c r="K23" s="7">
        <v>-31165</v>
      </c>
      <c r="L23" s="7">
        <v>56586.386720000002</v>
      </c>
      <c r="M23" s="7">
        <v>191498</v>
      </c>
      <c r="N23" s="7">
        <v>186812</v>
      </c>
      <c r="O23" s="7">
        <v>250285</v>
      </c>
      <c r="P23" s="7">
        <v>264373</v>
      </c>
      <c r="Q23" s="7">
        <v>260192</v>
      </c>
      <c r="R23" s="7">
        <v>147258</v>
      </c>
      <c r="S23" s="7">
        <v>364996</v>
      </c>
      <c r="T23" s="7">
        <v>561181</v>
      </c>
      <c r="U23" s="7">
        <v>730553</v>
      </c>
    </row>
    <row r="24" spans="1:21">
      <c r="A24" s="7">
        <v>2022</v>
      </c>
      <c r="B24" s="7">
        <v>-845168</v>
      </c>
      <c r="C24" s="7">
        <v>-583890</v>
      </c>
      <c r="D24" s="7">
        <v>-126518</v>
      </c>
      <c r="E24" s="7">
        <v>35970</v>
      </c>
      <c r="F24" s="7"/>
      <c r="G24" s="7">
        <v>-50462</v>
      </c>
      <c r="H24" s="7">
        <v>-135497</v>
      </c>
      <c r="I24" s="7">
        <v>-63270</v>
      </c>
      <c r="J24" s="7"/>
      <c r="K24" s="7">
        <v>-31660</v>
      </c>
      <c r="L24" s="7">
        <v>58761.550779999998</v>
      </c>
      <c r="M24" s="7">
        <v>207241</v>
      </c>
      <c r="N24" s="7">
        <v>167970</v>
      </c>
      <c r="O24" s="7">
        <v>277266</v>
      </c>
      <c r="P24" s="7">
        <v>285210</v>
      </c>
      <c r="Q24" s="7">
        <v>276565</v>
      </c>
      <c r="R24" s="7">
        <v>149985.64060000001</v>
      </c>
      <c r="S24" s="7">
        <v>368510</v>
      </c>
      <c r="T24" s="7">
        <v>633525</v>
      </c>
      <c r="U24" s="7">
        <v>758691.0625</v>
      </c>
    </row>
    <row r="25" spans="1:21">
      <c r="A25" s="7">
        <v>2023</v>
      </c>
      <c r="B25" s="7">
        <v>-875123</v>
      </c>
      <c r="C25" s="7">
        <v>-788135</v>
      </c>
      <c r="D25" s="7"/>
      <c r="E25" s="7">
        <v>37931</v>
      </c>
      <c r="F25" s="7"/>
      <c r="G25" s="7">
        <v>-49934</v>
      </c>
      <c r="H25" s="7">
        <v>-115628</v>
      </c>
      <c r="I25" s="7">
        <v>-64273</v>
      </c>
      <c r="J25" s="7"/>
      <c r="K25" s="7">
        <v>-31786</v>
      </c>
      <c r="L25" s="7">
        <v>59954.566409999999</v>
      </c>
      <c r="M25" s="7">
        <v>217718</v>
      </c>
      <c r="N25" s="7">
        <v>148279</v>
      </c>
      <c r="O25" s="7">
        <v>294910</v>
      </c>
      <c r="P25" s="7">
        <v>337060</v>
      </c>
      <c r="Q25" s="7">
        <v>271064</v>
      </c>
      <c r="R25" s="7">
        <v>161211.2188</v>
      </c>
      <c r="S25" s="7">
        <v>453691</v>
      </c>
      <c r="T25" s="7">
        <v>707555</v>
      </c>
      <c r="U25" s="7">
        <v>838773.125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D14"/>
  <sheetViews>
    <sheetView zoomScaleNormal="100" workbookViewId="0">
      <selection activeCell="B15" sqref="B15:C15"/>
    </sheetView>
  </sheetViews>
  <sheetFormatPr baseColWidth="10" defaultColWidth="8.83203125" defaultRowHeight="15"/>
  <sheetData>
    <row r="1" spans="1:4">
      <c r="A1" s="1" t="s">
        <v>0</v>
      </c>
      <c r="B1" s="1" t="s">
        <v>32</v>
      </c>
      <c r="C1" s="1" t="s">
        <v>33</v>
      </c>
      <c r="D1" s="1"/>
    </row>
    <row r="2" spans="1:4">
      <c r="A2" s="1">
        <v>2014</v>
      </c>
      <c r="B2" s="1">
        <v>40</v>
      </c>
      <c r="C2" s="1">
        <v>42.57</v>
      </c>
      <c r="D2" s="1"/>
    </row>
    <row r="3" spans="1:4">
      <c r="A3" s="1">
        <v>2015</v>
      </c>
      <c r="B3" s="1">
        <v>38.33</v>
      </c>
      <c r="C3" s="1">
        <v>41.65</v>
      </c>
      <c r="D3" s="1"/>
    </row>
    <row r="4" spans="1:4">
      <c r="A4" s="1">
        <v>2016</v>
      </c>
      <c r="B4" s="1">
        <v>34</v>
      </c>
      <c r="C4" s="1">
        <v>38.880000000000003</v>
      </c>
      <c r="D4" s="1"/>
    </row>
    <row r="5" spans="1:4">
      <c r="A5" s="1">
        <v>2017</v>
      </c>
      <c r="B5" s="1">
        <v>33.75</v>
      </c>
      <c r="C5" s="1">
        <v>42.43</v>
      </c>
      <c r="D5" s="1"/>
    </row>
    <row r="6" spans="1:4">
      <c r="A6" s="1">
        <v>2018</v>
      </c>
      <c r="B6" s="1">
        <v>33.5</v>
      </c>
      <c r="C6" s="1">
        <v>40.19</v>
      </c>
      <c r="D6" s="1"/>
    </row>
    <row r="7" spans="1:4">
      <c r="A7" s="1">
        <v>2019</v>
      </c>
      <c r="B7" s="1">
        <v>35.5</v>
      </c>
      <c r="C7" s="1">
        <v>38.549999999999997</v>
      </c>
      <c r="D7" s="1"/>
    </row>
    <row r="8" spans="1:4">
      <c r="A8" s="1">
        <v>2020</v>
      </c>
      <c r="B8" s="1">
        <v>35.25</v>
      </c>
      <c r="C8" s="1">
        <v>39.26</v>
      </c>
      <c r="D8" s="1"/>
    </row>
    <row r="9" spans="1:4">
      <c r="A9" s="1">
        <v>2021</v>
      </c>
      <c r="B9" s="1">
        <v>35.25</v>
      </c>
      <c r="C9" s="1">
        <v>39.61</v>
      </c>
      <c r="D9" s="1"/>
    </row>
    <row r="10" spans="1:4">
      <c r="A10" s="1">
        <v>2022</v>
      </c>
      <c r="B10" s="1">
        <v>35.25</v>
      </c>
      <c r="C10" s="1">
        <v>39.869999999999997</v>
      </c>
      <c r="D10" s="1"/>
    </row>
    <row r="11" spans="1:4">
      <c r="A11" s="1">
        <v>2023</v>
      </c>
      <c r="B11" s="1">
        <v>34.5</v>
      </c>
      <c r="C11" s="1">
        <v>40.65</v>
      </c>
      <c r="D11" s="1"/>
    </row>
    <row r="12" spans="1:4">
      <c r="A12">
        <v>2024</v>
      </c>
      <c r="B12">
        <v>35.25</v>
      </c>
      <c r="C12">
        <v>41.63</v>
      </c>
    </row>
    <row r="13" spans="1:4">
      <c r="A13">
        <v>2025</v>
      </c>
      <c r="B13">
        <v>34.5</v>
      </c>
      <c r="C13">
        <v>40</v>
      </c>
    </row>
    <row r="14" spans="1:4">
      <c r="A14" s="1">
        <v>2026</v>
      </c>
      <c r="B14" s="1">
        <v>34.25</v>
      </c>
      <c r="C14" s="1">
        <v>40.71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D13"/>
  <sheetViews>
    <sheetView workbookViewId="0">
      <selection activeCell="E21" sqref="E21"/>
    </sheetView>
  </sheetViews>
  <sheetFormatPr baseColWidth="10" defaultColWidth="8.83203125" defaultRowHeight="15"/>
  <cols>
    <col min="2" max="2" width="21.1640625" bestFit="1" customWidth="1"/>
    <col min="3" max="3" width="21.83203125" bestFit="1" customWidth="1"/>
  </cols>
  <sheetData>
    <row r="1" spans="1:4">
      <c r="A1" s="1" t="s">
        <v>0</v>
      </c>
      <c r="B1" s="1" t="s">
        <v>28</v>
      </c>
      <c r="C1" s="1" t="s">
        <v>29</v>
      </c>
      <c r="D1" s="1"/>
    </row>
    <row r="2" spans="1:4">
      <c r="A2" s="1">
        <v>2015</v>
      </c>
      <c r="B2" s="11">
        <v>0.11459999999999999</v>
      </c>
      <c r="C2" s="11">
        <v>0.14169999999999999</v>
      </c>
      <c r="D2" s="1"/>
    </row>
    <row r="3" spans="1:4">
      <c r="A3" s="1">
        <v>2016</v>
      </c>
      <c r="B3" s="11">
        <v>0.12139999999999999</v>
      </c>
      <c r="C3" s="11">
        <v>0.13220000000000001</v>
      </c>
      <c r="D3" s="1"/>
    </row>
    <row r="4" spans="1:4">
      <c r="A4" s="1">
        <v>2017</v>
      </c>
      <c r="B4" s="11">
        <v>0.13400000000000001</v>
      </c>
      <c r="C4" s="11">
        <v>0.13150000000000001</v>
      </c>
      <c r="D4" s="1"/>
    </row>
    <row r="5" spans="1:4">
      <c r="A5" s="1">
        <v>2018</v>
      </c>
      <c r="B5" s="11">
        <v>0.14799999999999999</v>
      </c>
      <c r="C5" s="11">
        <v>0.1293</v>
      </c>
      <c r="D5" s="1"/>
    </row>
    <row r="6" spans="1:4">
      <c r="A6" s="1">
        <v>2019</v>
      </c>
      <c r="B6" s="11">
        <v>0.16120000000000001</v>
      </c>
      <c r="C6" s="11">
        <v>0.11609999999999999</v>
      </c>
      <c r="D6" s="1"/>
    </row>
    <row r="7" spans="1:4">
      <c r="A7" s="1">
        <v>2020</v>
      </c>
      <c r="B7" s="11">
        <v>0.16109999999999999</v>
      </c>
      <c r="C7" s="11">
        <v>0.11169999999999999</v>
      </c>
      <c r="D7" s="1"/>
    </row>
    <row r="8" spans="1:4">
      <c r="A8" s="1">
        <v>2021</v>
      </c>
      <c r="B8" s="11">
        <v>0.17249999999999999</v>
      </c>
      <c r="C8" s="11">
        <v>0.1075</v>
      </c>
      <c r="D8" s="1"/>
    </row>
    <row r="9" spans="1:4">
      <c r="A9" s="1">
        <v>2022</v>
      </c>
      <c r="B9" s="11">
        <v>0.19309999999999999</v>
      </c>
      <c r="C9" s="11">
        <v>9.8900000000000002E-2</v>
      </c>
      <c r="D9" s="1"/>
    </row>
    <row r="10" spans="1:4">
      <c r="A10" s="1">
        <v>2023</v>
      </c>
      <c r="B10" s="11">
        <v>0.19350000000000001</v>
      </c>
      <c r="C10" s="11">
        <v>9.5000000000000001E-2</v>
      </c>
      <c r="D10" s="1"/>
    </row>
    <row r="11" spans="1:4">
      <c r="A11" s="1">
        <v>2024</v>
      </c>
      <c r="B11" s="11">
        <v>0.21429999999999999</v>
      </c>
      <c r="C11" s="11">
        <v>9.3899999999999997E-2</v>
      </c>
      <c r="D11" s="1"/>
    </row>
    <row r="12" spans="1:4">
      <c r="A12">
        <v>2025</v>
      </c>
      <c r="B12" s="11">
        <v>0.20830000000000001</v>
      </c>
      <c r="C12" s="11">
        <v>8.4199999999999997E-2</v>
      </c>
    </row>
    <row r="13" spans="1:4">
      <c r="B13" s="26"/>
      <c r="C13" s="2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F81B-6E34-4C4F-8880-DD8F89F62CF0}">
  <sheetPr codeName="Sheet100"/>
  <dimension ref="A1:C13"/>
  <sheetViews>
    <sheetView workbookViewId="0">
      <selection activeCell="B13" sqref="B13:C13"/>
    </sheetView>
  </sheetViews>
  <sheetFormatPr baseColWidth="10" defaultRowHeight="15"/>
  <sheetData>
    <row r="1" spans="1:3">
      <c r="A1" s="7" t="s">
        <v>0</v>
      </c>
      <c r="B1" s="7" t="s">
        <v>473</v>
      </c>
      <c r="C1" s="7" t="s">
        <v>557</v>
      </c>
    </row>
    <row r="2" spans="1:3">
      <c r="A2" s="7">
        <v>2015</v>
      </c>
      <c r="B2" s="11">
        <v>0.223</v>
      </c>
      <c r="C2" s="11">
        <v>0.17119999999999999</v>
      </c>
    </row>
    <row r="3" spans="1:3">
      <c r="A3" s="7">
        <v>2016</v>
      </c>
      <c r="B3" s="11">
        <v>0.21690000000000001</v>
      </c>
      <c r="C3" s="11">
        <v>0.1835</v>
      </c>
    </row>
    <row r="4" spans="1:3">
      <c r="A4" s="7">
        <v>2017</v>
      </c>
      <c r="B4" s="11">
        <v>0.21579999999999999</v>
      </c>
      <c r="C4" s="11">
        <v>0.20230000000000001</v>
      </c>
    </row>
    <row r="5" spans="1:3">
      <c r="A5" s="7">
        <v>2018</v>
      </c>
      <c r="B5" s="11">
        <v>0.21690000000000001</v>
      </c>
      <c r="C5" s="11">
        <v>0.2288</v>
      </c>
    </row>
    <row r="6" spans="1:3">
      <c r="A6" s="7">
        <v>2019</v>
      </c>
      <c r="B6" s="11">
        <v>0.2041</v>
      </c>
      <c r="C6" s="11">
        <v>0.25209999999999999</v>
      </c>
    </row>
    <row r="7" spans="1:3">
      <c r="A7" s="7">
        <v>2020</v>
      </c>
      <c r="B7" s="11">
        <v>0.19819999999999999</v>
      </c>
      <c r="C7" s="11">
        <v>0.25600000000000001</v>
      </c>
    </row>
    <row r="8" spans="1:3">
      <c r="A8" s="7">
        <v>2021</v>
      </c>
      <c r="B8" s="11">
        <v>0.192</v>
      </c>
      <c r="C8" s="11">
        <v>0.27039999999999997</v>
      </c>
    </row>
    <row r="9" spans="1:3">
      <c r="A9" s="7">
        <v>2022</v>
      </c>
      <c r="B9" s="11">
        <v>0.18090000000000001</v>
      </c>
      <c r="C9" s="11">
        <v>0.29809999999999998</v>
      </c>
    </row>
    <row r="10" spans="1:3">
      <c r="A10" s="7">
        <v>2023</v>
      </c>
      <c r="B10" s="11">
        <v>0.17710000000000001</v>
      </c>
      <c r="C10" s="11">
        <v>0.30109999999999998</v>
      </c>
    </row>
    <row r="11" spans="1:3">
      <c r="A11" s="7">
        <v>2024</v>
      </c>
      <c r="B11" s="11">
        <v>0.1779</v>
      </c>
      <c r="C11" s="11">
        <v>0.33139999999999997</v>
      </c>
    </row>
    <row r="12" spans="1:3">
      <c r="A12" s="7">
        <v>2025</v>
      </c>
      <c r="B12" s="11">
        <v>0.16239999999999999</v>
      </c>
      <c r="C12" s="11">
        <v>0.32850000000000001</v>
      </c>
    </row>
    <row r="13" spans="1:3">
      <c r="B13" s="26"/>
      <c r="C13" s="26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E6FB-FD08-324C-A193-910F47EDE750}">
  <sheetPr codeName="Sheet101"/>
  <dimension ref="A1:C13"/>
  <sheetViews>
    <sheetView workbookViewId="0">
      <selection activeCell="J37" sqref="J37"/>
    </sheetView>
  </sheetViews>
  <sheetFormatPr baseColWidth="10" defaultRowHeight="15"/>
  <sheetData>
    <row r="1" spans="1:3">
      <c r="A1" s="7" t="s">
        <v>0</v>
      </c>
      <c r="B1" s="7" t="s">
        <v>12</v>
      </c>
      <c r="C1" s="7" t="s">
        <v>474</v>
      </c>
    </row>
    <row r="2" spans="1:3">
      <c r="A2" s="7">
        <v>2014</v>
      </c>
      <c r="B2" s="7">
        <v>1701</v>
      </c>
      <c r="C2" s="11">
        <v>0.52910000000000001</v>
      </c>
    </row>
    <row r="3" spans="1:3">
      <c r="A3" s="7">
        <v>2015</v>
      </c>
      <c r="B3" s="7">
        <v>1548</v>
      </c>
      <c r="C3" s="11">
        <v>0.49519999999999997</v>
      </c>
    </row>
    <row r="4" spans="1:3">
      <c r="A4" s="7">
        <v>2016</v>
      </c>
      <c r="B4" s="7">
        <v>1529</v>
      </c>
      <c r="C4" s="11">
        <v>0.46820000000000001</v>
      </c>
    </row>
    <row r="5" spans="1:3">
      <c r="A5" s="7">
        <v>2017</v>
      </c>
      <c r="B5" s="7">
        <v>1640</v>
      </c>
      <c r="C5" s="11">
        <v>0.46350000000000002</v>
      </c>
    </row>
    <row r="6" spans="1:3">
      <c r="A6" s="7">
        <v>2018</v>
      </c>
      <c r="B6" s="7">
        <v>2634</v>
      </c>
      <c r="C6" s="11">
        <v>0.43330000000000002</v>
      </c>
    </row>
    <row r="7" spans="1:3">
      <c r="A7" s="7">
        <v>2019</v>
      </c>
      <c r="B7" s="7">
        <v>2737</v>
      </c>
      <c r="C7" s="11">
        <v>0.44030000000000002</v>
      </c>
    </row>
    <row r="8" spans="1:3">
      <c r="A8" s="7">
        <v>2020</v>
      </c>
      <c r="B8" s="7">
        <v>2650</v>
      </c>
      <c r="C8" s="11">
        <v>0.4148</v>
      </c>
    </row>
    <row r="9" spans="1:3">
      <c r="A9" s="7">
        <v>2021</v>
      </c>
      <c r="B9" s="7">
        <v>2623</v>
      </c>
      <c r="C9" s="11">
        <v>0.39729999999999999</v>
      </c>
    </row>
    <row r="10" spans="1:3">
      <c r="A10" s="7">
        <v>2022</v>
      </c>
      <c r="B10" s="7">
        <v>2749</v>
      </c>
      <c r="C10" s="11">
        <v>0.38069999999999998</v>
      </c>
    </row>
    <row r="11" spans="1:3">
      <c r="A11" s="7">
        <v>2023</v>
      </c>
      <c r="B11" s="7">
        <v>2661</v>
      </c>
      <c r="C11" s="11">
        <v>0.37340000000000001</v>
      </c>
    </row>
    <row r="12" spans="1:3">
      <c r="A12" s="7">
        <v>2024</v>
      </c>
      <c r="B12" s="7">
        <v>2493</v>
      </c>
      <c r="C12" s="11">
        <v>0.36199999999999999</v>
      </c>
    </row>
    <row r="13" spans="1:3">
      <c r="A13" s="7">
        <v>2025</v>
      </c>
      <c r="B13" s="7">
        <v>2670</v>
      </c>
      <c r="C13" s="11">
        <v>0.37440000000000001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D14"/>
  <sheetViews>
    <sheetView workbookViewId="0">
      <selection activeCell="B15" sqref="B14:D15"/>
    </sheetView>
  </sheetViews>
  <sheetFormatPr baseColWidth="10" defaultColWidth="8.83203125" defaultRowHeight="15"/>
  <cols>
    <col min="2" max="2" width="25.83203125" bestFit="1" customWidth="1"/>
    <col min="3" max="3" width="27.5" bestFit="1" customWidth="1"/>
    <col min="4" max="4" width="25.33203125" bestFit="1" customWidth="1"/>
  </cols>
  <sheetData>
    <row r="1" spans="1:4">
      <c r="A1" s="1" t="s">
        <v>0</v>
      </c>
      <c r="B1" s="1" t="s">
        <v>17</v>
      </c>
      <c r="C1" s="1" t="s">
        <v>30</v>
      </c>
      <c r="D1" s="1" t="s">
        <v>31</v>
      </c>
    </row>
    <row r="2" spans="1:4">
      <c r="A2" s="29">
        <v>2013</v>
      </c>
      <c r="B2" s="5">
        <v>0.69090909090909092</v>
      </c>
      <c r="C2" s="5">
        <v>1.8181818181818181E-2</v>
      </c>
      <c r="D2" s="5">
        <v>0.29090909090909089</v>
      </c>
    </row>
    <row r="3" spans="1:4">
      <c r="A3" s="29">
        <v>2014</v>
      </c>
      <c r="B3" s="5">
        <v>0.47058823529411764</v>
      </c>
      <c r="C3" s="5">
        <v>9.8039215686274508E-2</v>
      </c>
      <c r="D3" s="5">
        <v>0.43137254901960786</v>
      </c>
    </row>
    <row r="4" spans="1:4">
      <c r="A4" s="29">
        <v>2015</v>
      </c>
      <c r="B4" s="5">
        <v>0.76923076923076927</v>
      </c>
      <c r="C4" s="5">
        <v>0</v>
      </c>
      <c r="D4" s="5">
        <v>0.23076923076923078</v>
      </c>
    </row>
    <row r="5" spans="1:4">
      <c r="A5" s="29">
        <v>2016</v>
      </c>
      <c r="B5" s="5">
        <v>0.53787878787878785</v>
      </c>
      <c r="C5" s="5">
        <v>0</v>
      </c>
      <c r="D5" s="5">
        <v>0.4621212121212121</v>
      </c>
    </row>
    <row r="6" spans="1:4">
      <c r="A6" s="29">
        <v>2017</v>
      </c>
      <c r="B6" s="5">
        <v>0.6</v>
      </c>
      <c r="C6" s="5">
        <v>1.8749999999999999E-2</v>
      </c>
      <c r="D6" s="5">
        <v>0.38124999999999998</v>
      </c>
    </row>
    <row r="7" spans="1:4">
      <c r="A7" s="29">
        <v>2018</v>
      </c>
      <c r="B7" s="5">
        <v>0.6262626262626263</v>
      </c>
      <c r="C7" s="5">
        <v>1.0101010101010102E-2</v>
      </c>
      <c r="D7" s="5">
        <v>0.36363636363636365</v>
      </c>
    </row>
    <row r="8" spans="1:4">
      <c r="A8" s="29">
        <v>2019</v>
      </c>
      <c r="B8" s="5">
        <v>0.57777777777777772</v>
      </c>
      <c r="C8" s="5">
        <v>0</v>
      </c>
      <c r="D8" s="5">
        <v>0.42222222222222222</v>
      </c>
    </row>
    <row r="9" spans="1:4">
      <c r="A9" s="29">
        <v>2020</v>
      </c>
      <c r="B9" s="5">
        <v>0.53243847874720363</v>
      </c>
      <c r="C9" s="5">
        <v>5.145413870246085E-2</v>
      </c>
      <c r="D9" s="5">
        <v>0.41610738255033558</v>
      </c>
    </row>
    <row r="10" spans="1:4">
      <c r="A10" s="29">
        <v>2021</v>
      </c>
      <c r="B10" s="5">
        <v>0.55660377358490565</v>
      </c>
      <c r="C10" s="5">
        <v>4.716981132075472E-2</v>
      </c>
      <c r="D10" s="5">
        <v>0.39622641509433965</v>
      </c>
    </row>
    <row r="11" spans="1:4">
      <c r="A11" s="29">
        <v>2023</v>
      </c>
      <c r="B11" s="5">
        <v>0.67294117647058826</v>
      </c>
      <c r="C11" s="5">
        <v>6.1176470588235297E-2</v>
      </c>
      <c r="D11" s="5">
        <v>0.26588235294117646</v>
      </c>
    </row>
    <row r="12" spans="1:4">
      <c r="A12" s="29">
        <v>2024</v>
      </c>
      <c r="B12" s="5">
        <v>0.43100189035916825</v>
      </c>
      <c r="C12" s="5">
        <v>0.29867674858223064</v>
      </c>
      <c r="D12" s="5">
        <v>0.27032136105860116</v>
      </c>
    </row>
    <row r="13" spans="1:4">
      <c r="A13" s="29">
        <v>2025</v>
      </c>
      <c r="B13" s="5">
        <v>0.34011090573012936</v>
      </c>
      <c r="C13" s="5">
        <v>0.33641404805914971</v>
      </c>
      <c r="D13" s="5">
        <v>0.32347504621072087</v>
      </c>
    </row>
    <row r="14" spans="1:4">
      <c r="B14" s="26"/>
      <c r="C14" s="26"/>
      <c r="D14" s="2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4F0C-7A41-5341-A036-21FA3AAF4CA8}">
  <sheetPr codeName="Sheet102"/>
  <dimension ref="A1:F28"/>
  <sheetViews>
    <sheetView workbookViewId="0">
      <selection activeCell="A2" sqref="A2"/>
    </sheetView>
  </sheetViews>
  <sheetFormatPr baseColWidth="10" defaultRowHeight="15"/>
  <sheetData>
    <row r="1" spans="1:6">
      <c r="A1" t="s">
        <v>0</v>
      </c>
      <c r="B1" s="7" t="s">
        <v>475</v>
      </c>
      <c r="C1" s="7" t="s">
        <v>476</v>
      </c>
      <c r="D1" s="7" t="s">
        <v>478</v>
      </c>
      <c r="E1" s="7" t="s">
        <v>477</v>
      </c>
      <c r="F1" s="7" t="s">
        <v>479</v>
      </c>
    </row>
    <row r="2" spans="1:6">
      <c r="A2">
        <v>2000</v>
      </c>
      <c r="B2" s="7">
        <v>50</v>
      </c>
      <c r="C2" s="7">
        <v>34</v>
      </c>
      <c r="D2" s="7">
        <v>8</v>
      </c>
      <c r="E2" s="7">
        <v>11</v>
      </c>
      <c r="F2" s="28">
        <v>11</v>
      </c>
    </row>
    <row r="3" spans="1:6">
      <c r="A3">
        <v>2001</v>
      </c>
      <c r="B3" s="7">
        <v>50</v>
      </c>
      <c r="C3" s="7">
        <v>34</v>
      </c>
      <c r="D3" s="7">
        <v>7</v>
      </c>
      <c r="E3" s="7">
        <v>10</v>
      </c>
      <c r="F3" s="28">
        <v>11</v>
      </c>
    </row>
    <row r="4" spans="1:6">
      <c r="A4">
        <v>2002</v>
      </c>
      <c r="B4" s="7">
        <v>52</v>
      </c>
      <c r="C4" s="7">
        <v>36</v>
      </c>
      <c r="D4" s="7">
        <v>8</v>
      </c>
      <c r="E4" s="7">
        <v>11</v>
      </c>
      <c r="F4" s="28">
        <v>11</v>
      </c>
    </row>
    <row r="5" spans="1:6">
      <c r="A5">
        <v>2003</v>
      </c>
      <c r="B5" s="7">
        <v>52</v>
      </c>
      <c r="C5" s="7">
        <v>35</v>
      </c>
      <c r="D5" s="7">
        <v>7</v>
      </c>
      <c r="E5" s="7">
        <v>10</v>
      </c>
      <c r="F5" s="28">
        <v>10</v>
      </c>
    </row>
    <row r="6" spans="1:6">
      <c r="A6">
        <v>2004</v>
      </c>
      <c r="B6" s="7">
        <v>54</v>
      </c>
      <c r="C6" s="7">
        <v>38</v>
      </c>
      <c r="D6" s="7">
        <v>8</v>
      </c>
      <c r="E6" s="7">
        <v>10</v>
      </c>
      <c r="F6" s="28">
        <v>10</v>
      </c>
    </row>
    <row r="7" spans="1:6">
      <c r="A7">
        <v>2005</v>
      </c>
      <c r="B7" s="7">
        <v>52</v>
      </c>
      <c r="C7" s="7">
        <v>37</v>
      </c>
      <c r="D7" s="7">
        <v>8</v>
      </c>
      <c r="E7" s="7">
        <v>9</v>
      </c>
      <c r="F7" s="28">
        <v>10</v>
      </c>
    </row>
    <row r="8" spans="1:6">
      <c r="A8">
        <v>2006</v>
      </c>
      <c r="B8" s="7">
        <v>51</v>
      </c>
      <c r="C8" s="7">
        <v>37</v>
      </c>
      <c r="D8" s="7">
        <v>9</v>
      </c>
      <c r="E8" s="7">
        <v>10</v>
      </c>
      <c r="F8" s="28">
        <v>10</v>
      </c>
    </row>
    <row r="9" spans="1:6">
      <c r="A9">
        <v>2007</v>
      </c>
      <c r="B9" s="7">
        <v>49</v>
      </c>
      <c r="C9" s="7">
        <v>33</v>
      </c>
      <c r="D9" s="7">
        <v>10</v>
      </c>
      <c r="E9" s="7">
        <v>11</v>
      </c>
      <c r="F9" s="28">
        <v>8</v>
      </c>
    </row>
    <row r="10" spans="1:6">
      <c r="A10">
        <v>2008</v>
      </c>
      <c r="B10" s="7">
        <v>45</v>
      </c>
      <c r="C10" s="7">
        <v>31</v>
      </c>
      <c r="D10" s="7">
        <v>10</v>
      </c>
      <c r="E10" s="7">
        <v>11</v>
      </c>
      <c r="F10" s="28">
        <v>8</v>
      </c>
    </row>
    <row r="11" spans="1:6">
      <c r="A11">
        <v>2009</v>
      </c>
      <c r="B11" s="7">
        <v>49</v>
      </c>
      <c r="C11" s="7">
        <v>34</v>
      </c>
      <c r="D11" s="7">
        <v>10</v>
      </c>
      <c r="E11" s="7">
        <v>11</v>
      </c>
      <c r="F11" s="28">
        <v>8</v>
      </c>
    </row>
    <row r="12" spans="1:6">
      <c r="A12">
        <v>2010</v>
      </c>
      <c r="B12" s="7">
        <v>45</v>
      </c>
      <c r="C12" s="7">
        <v>32</v>
      </c>
      <c r="D12" s="7">
        <v>10</v>
      </c>
      <c r="E12" s="7">
        <v>11</v>
      </c>
      <c r="F12" s="28">
        <v>8</v>
      </c>
    </row>
    <row r="13" spans="1:6">
      <c r="A13">
        <v>2011</v>
      </c>
      <c r="B13" s="7">
        <v>43</v>
      </c>
      <c r="C13" s="7">
        <v>31</v>
      </c>
      <c r="D13" s="7">
        <v>11</v>
      </c>
      <c r="E13" s="7">
        <v>12</v>
      </c>
      <c r="F13" s="28">
        <v>7</v>
      </c>
    </row>
    <row r="14" spans="1:6">
      <c r="A14">
        <v>2012</v>
      </c>
      <c r="B14" s="7">
        <v>41</v>
      </c>
      <c r="C14" s="7">
        <v>31</v>
      </c>
      <c r="D14" s="7">
        <v>10</v>
      </c>
      <c r="E14" s="7">
        <v>12</v>
      </c>
      <c r="F14" s="28">
        <v>7</v>
      </c>
    </row>
    <row r="15" spans="1:6">
      <c r="A15">
        <v>2013</v>
      </c>
      <c r="B15" s="7">
        <v>41</v>
      </c>
      <c r="C15" s="7">
        <v>30</v>
      </c>
      <c r="D15" s="7">
        <v>10</v>
      </c>
      <c r="E15" s="7">
        <v>12</v>
      </c>
      <c r="F15" s="28">
        <v>7</v>
      </c>
    </row>
    <row r="16" spans="1:6">
      <c r="A16">
        <v>2014</v>
      </c>
      <c r="B16" s="7">
        <v>38</v>
      </c>
      <c r="C16" s="7">
        <v>27</v>
      </c>
      <c r="D16" s="7">
        <v>9</v>
      </c>
      <c r="E16" s="7">
        <v>11</v>
      </c>
      <c r="F16" s="28">
        <v>7</v>
      </c>
    </row>
    <row r="17" spans="1:6">
      <c r="A17">
        <v>2015</v>
      </c>
      <c r="B17" s="7">
        <v>37</v>
      </c>
      <c r="C17" s="7">
        <v>24</v>
      </c>
      <c r="D17" s="7">
        <v>11</v>
      </c>
      <c r="E17" s="7">
        <v>13</v>
      </c>
      <c r="F17" s="28">
        <v>6</v>
      </c>
    </row>
    <row r="18" spans="1:6">
      <c r="A18">
        <v>2016</v>
      </c>
      <c r="B18" s="7">
        <v>36</v>
      </c>
      <c r="C18" s="7">
        <v>19</v>
      </c>
      <c r="D18" s="7">
        <v>10</v>
      </c>
      <c r="E18" s="7">
        <v>13</v>
      </c>
      <c r="F18" s="28">
        <v>6</v>
      </c>
    </row>
    <row r="19" spans="1:6">
      <c r="A19">
        <v>2017</v>
      </c>
      <c r="B19" s="7">
        <v>41</v>
      </c>
      <c r="C19" s="7">
        <v>24</v>
      </c>
      <c r="D19" s="7">
        <v>10</v>
      </c>
      <c r="E19" s="7">
        <v>13</v>
      </c>
      <c r="F19" s="28">
        <v>6</v>
      </c>
    </row>
    <row r="20" spans="1:6">
      <c r="A20">
        <v>2018</v>
      </c>
      <c r="B20" s="7">
        <v>41</v>
      </c>
      <c r="C20" s="7">
        <v>26</v>
      </c>
      <c r="D20" s="7">
        <v>9</v>
      </c>
      <c r="E20" s="7">
        <v>13</v>
      </c>
      <c r="F20" s="28">
        <v>6</v>
      </c>
    </row>
    <row r="21" spans="1:6">
      <c r="A21">
        <v>2019</v>
      </c>
      <c r="B21" s="7">
        <v>40</v>
      </c>
      <c r="C21" s="7">
        <v>25</v>
      </c>
      <c r="D21" s="7">
        <v>10</v>
      </c>
      <c r="E21" s="7">
        <v>14</v>
      </c>
      <c r="F21" s="28">
        <v>4</v>
      </c>
    </row>
    <row r="22" spans="1:6">
      <c r="A22">
        <v>2020</v>
      </c>
      <c r="B22" s="7">
        <v>42</v>
      </c>
      <c r="C22" s="7">
        <v>28</v>
      </c>
      <c r="D22" s="7">
        <v>11</v>
      </c>
      <c r="E22" s="7">
        <v>15</v>
      </c>
      <c r="F22" s="28">
        <v>4</v>
      </c>
    </row>
    <row r="23" spans="1:6">
      <c r="A23">
        <v>2021</v>
      </c>
      <c r="B23" s="7">
        <v>42</v>
      </c>
      <c r="C23" s="7">
        <v>25</v>
      </c>
      <c r="D23" s="7">
        <v>11</v>
      </c>
      <c r="E23" s="7">
        <v>15</v>
      </c>
      <c r="F23" s="28">
        <v>4</v>
      </c>
    </row>
    <row r="24" spans="1:6">
      <c r="A24">
        <v>2022</v>
      </c>
      <c r="B24" s="7">
        <v>42</v>
      </c>
      <c r="C24" s="7">
        <v>25</v>
      </c>
      <c r="D24" s="7">
        <v>11</v>
      </c>
      <c r="E24" s="7">
        <v>14</v>
      </c>
      <c r="F24" s="28">
        <v>5</v>
      </c>
    </row>
    <row r="25" spans="1:6">
      <c r="A25">
        <v>2023</v>
      </c>
      <c r="B25" s="7">
        <v>42</v>
      </c>
      <c r="C25" s="7">
        <v>25</v>
      </c>
      <c r="D25" s="7">
        <v>10</v>
      </c>
      <c r="E25" s="7">
        <v>14</v>
      </c>
      <c r="F25" s="28">
        <v>4</v>
      </c>
    </row>
    <row r="26" spans="1:6">
      <c r="A26">
        <v>2024</v>
      </c>
      <c r="B26" s="7">
        <v>43</v>
      </c>
      <c r="C26" s="7">
        <v>27</v>
      </c>
      <c r="D26" s="7">
        <v>10</v>
      </c>
      <c r="E26" s="7">
        <v>15</v>
      </c>
      <c r="F26" s="28">
        <v>4</v>
      </c>
    </row>
    <row r="27" spans="1:6">
      <c r="A27">
        <v>2025</v>
      </c>
      <c r="B27" s="7">
        <v>46</v>
      </c>
      <c r="C27" s="7">
        <v>29</v>
      </c>
      <c r="D27" s="7">
        <v>8</v>
      </c>
      <c r="E27" s="7">
        <v>13</v>
      </c>
      <c r="F27" s="28">
        <v>4</v>
      </c>
    </row>
    <row r="28" spans="1:6">
      <c r="B28" s="25"/>
      <c r="C28" s="25"/>
      <c r="D28" s="25"/>
      <c r="E28" s="25"/>
      <c r="F28" s="25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E11"/>
  <sheetViews>
    <sheetView workbookViewId="0"/>
  </sheetViews>
  <sheetFormatPr baseColWidth="10" defaultColWidth="8.83203125" defaultRowHeight="15"/>
  <sheetData>
    <row r="1" spans="1:5">
      <c r="A1" s="7" t="s">
        <v>358</v>
      </c>
      <c r="B1" s="7" t="s">
        <v>359</v>
      </c>
      <c r="C1" s="7" t="s">
        <v>360</v>
      </c>
      <c r="D1" s="7" t="s">
        <v>361</v>
      </c>
      <c r="E1" s="7" t="s">
        <v>67</v>
      </c>
    </row>
    <row r="2" spans="1:5">
      <c r="A2" s="7" t="s">
        <v>362</v>
      </c>
      <c r="B2" s="7">
        <v>59</v>
      </c>
      <c r="C2" s="7">
        <v>83</v>
      </c>
      <c r="D2" s="7">
        <v>71</v>
      </c>
      <c r="E2" s="7">
        <v>213</v>
      </c>
    </row>
    <row r="3" spans="1:5">
      <c r="A3" s="7" t="s">
        <v>363</v>
      </c>
      <c r="B3" s="7">
        <v>1</v>
      </c>
      <c r="C3" s="7">
        <v>1</v>
      </c>
      <c r="D3" s="7">
        <v>2</v>
      </c>
      <c r="E3" s="7">
        <v>4</v>
      </c>
    </row>
    <row r="4" spans="1:5">
      <c r="A4" s="7" t="s">
        <v>364</v>
      </c>
      <c r="B4" s="7">
        <v>29</v>
      </c>
      <c r="C4" s="7">
        <v>38</v>
      </c>
      <c r="D4" s="7">
        <v>41</v>
      </c>
      <c r="E4" s="7">
        <v>108</v>
      </c>
    </row>
    <row r="5" spans="1:5">
      <c r="A5" s="1"/>
      <c r="B5" s="1"/>
      <c r="C5" s="1"/>
      <c r="D5" s="1"/>
    </row>
    <row r="6" spans="1:5">
      <c r="B6" s="1"/>
      <c r="C6" s="1"/>
      <c r="D6" s="1"/>
    </row>
    <row r="7" spans="1:5">
      <c r="A7" s="1"/>
      <c r="B7" s="1"/>
      <c r="C7" s="1"/>
      <c r="D7" s="1"/>
    </row>
    <row r="8" spans="1:5">
      <c r="A8" s="1"/>
      <c r="B8" s="1"/>
      <c r="C8" s="1"/>
      <c r="D8" s="1"/>
    </row>
    <row r="9" spans="1:5">
      <c r="A9" s="1"/>
      <c r="B9" s="1"/>
      <c r="C9" s="1"/>
      <c r="D9" s="1"/>
    </row>
    <row r="10" spans="1:5">
      <c r="A10" s="1"/>
      <c r="B10" s="1"/>
      <c r="C10" s="1"/>
      <c r="D10" s="1"/>
    </row>
    <row r="11" spans="1:5">
      <c r="A11" s="1"/>
      <c r="B11" s="1"/>
      <c r="C11" s="1"/>
      <c r="D11" s="1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D37"/>
  <sheetViews>
    <sheetView zoomScale="86" zoomScaleNormal="86" workbookViewId="0">
      <selection activeCell="I33" sqref="I33"/>
    </sheetView>
  </sheetViews>
  <sheetFormatPr baseColWidth="10" defaultColWidth="8.83203125" defaultRowHeight="15"/>
  <sheetData>
    <row r="1" spans="1:4">
      <c r="A1" s="7" t="s">
        <v>365</v>
      </c>
      <c r="B1" s="7" t="s">
        <v>12</v>
      </c>
      <c r="C1" s="7" t="s">
        <v>374</v>
      </c>
    </row>
    <row r="2" spans="1:4">
      <c r="A2" s="7" t="s">
        <v>56</v>
      </c>
      <c r="B2" s="7">
        <v>15</v>
      </c>
      <c r="C2" s="11">
        <v>0.1389</v>
      </c>
    </row>
    <row r="3" spans="1:4">
      <c r="A3" s="7" t="s">
        <v>55</v>
      </c>
      <c r="B3" s="7">
        <v>12</v>
      </c>
      <c r="C3" s="11">
        <v>0.1111</v>
      </c>
    </row>
    <row r="4" spans="1:4">
      <c r="A4" s="7" t="s">
        <v>69</v>
      </c>
      <c r="B4" s="7">
        <v>10</v>
      </c>
      <c r="C4" s="11">
        <v>9.2600000000000002E-2</v>
      </c>
    </row>
    <row r="5" spans="1:4">
      <c r="A5" s="7" t="s">
        <v>314</v>
      </c>
      <c r="B5" s="7">
        <v>7</v>
      </c>
      <c r="C5" s="11">
        <v>6.4799999999999996E-2</v>
      </c>
      <c r="D5" s="1"/>
    </row>
    <row r="6" spans="1:4">
      <c r="A6" s="7" t="s">
        <v>163</v>
      </c>
      <c r="B6" s="7">
        <v>7</v>
      </c>
      <c r="C6" s="11">
        <v>6.4799999999999996E-2</v>
      </c>
      <c r="D6" s="1"/>
    </row>
    <row r="7" spans="1:4">
      <c r="A7" s="7" t="s">
        <v>58</v>
      </c>
      <c r="B7" s="7">
        <v>6</v>
      </c>
      <c r="C7" s="11">
        <v>5.5599999999999997E-2</v>
      </c>
      <c r="D7" s="1"/>
    </row>
    <row r="8" spans="1:4">
      <c r="A8" s="7" t="s">
        <v>30</v>
      </c>
      <c r="B8" s="7">
        <v>6</v>
      </c>
      <c r="C8" s="11">
        <v>5.5599999999999997E-2</v>
      </c>
      <c r="D8" s="1"/>
    </row>
    <row r="9" spans="1:4">
      <c r="A9" s="7" t="s">
        <v>338</v>
      </c>
      <c r="B9" s="7">
        <v>4</v>
      </c>
      <c r="C9" s="11">
        <v>3.6999999999999998E-2</v>
      </c>
      <c r="D9" s="1"/>
    </row>
    <row r="10" spans="1:4">
      <c r="A10" s="7" t="s">
        <v>345</v>
      </c>
      <c r="B10" s="7">
        <v>4</v>
      </c>
      <c r="C10" s="11">
        <v>3.6999999999999998E-2</v>
      </c>
      <c r="D10" s="1"/>
    </row>
    <row r="11" spans="1:4">
      <c r="A11" s="7" t="s">
        <v>334</v>
      </c>
      <c r="B11" s="7">
        <v>4</v>
      </c>
      <c r="C11" s="11">
        <v>3.6999999999999998E-2</v>
      </c>
      <c r="D11" s="1"/>
    </row>
    <row r="12" spans="1:4">
      <c r="A12" s="7" t="s">
        <v>347</v>
      </c>
      <c r="B12" s="7">
        <v>3</v>
      </c>
      <c r="C12" s="11">
        <v>2.7799999999999998E-2</v>
      </c>
    </row>
    <row r="13" spans="1:4">
      <c r="A13" s="7" t="s">
        <v>325</v>
      </c>
      <c r="B13" s="7">
        <v>2</v>
      </c>
      <c r="C13" s="11">
        <v>1.8499999999999999E-2</v>
      </c>
    </row>
    <row r="14" spans="1:4">
      <c r="A14" s="7" t="s">
        <v>318</v>
      </c>
      <c r="B14" s="7">
        <v>2</v>
      </c>
      <c r="C14" s="11">
        <v>1.8499999999999999E-2</v>
      </c>
    </row>
    <row r="15" spans="1:4">
      <c r="A15" s="7" t="s">
        <v>366</v>
      </c>
      <c r="B15" s="7">
        <v>2</v>
      </c>
      <c r="C15" s="11">
        <v>1.8499999999999999E-2</v>
      </c>
    </row>
    <row r="16" spans="1:4">
      <c r="A16" s="7" t="s">
        <v>367</v>
      </c>
      <c r="B16" s="7">
        <v>2</v>
      </c>
      <c r="C16" s="11">
        <v>1.8499999999999999E-2</v>
      </c>
    </row>
    <row r="17" spans="1:3">
      <c r="A17" s="7" t="s">
        <v>241</v>
      </c>
      <c r="B17" s="7">
        <v>2</v>
      </c>
      <c r="C17" s="11">
        <v>1.8499999999999999E-2</v>
      </c>
    </row>
    <row r="18" spans="1:3">
      <c r="A18" s="7" t="s">
        <v>368</v>
      </c>
      <c r="B18" s="7">
        <v>1</v>
      </c>
      <c r="C18" s="11">
        <v>9.2999999999999992E-3</v>
      </c>
    </row>
    <row r="19" spans="1:3">
      <c r="A19" s="7" t="s">
        <v>326</v>
      </c>
      <c r="B19" s="7">
        <v>1</v>
      </c>
      <c r="C19" s="11">
        <v>9.2999999999999992E-3</v>
      </c>
    </row>
    <row r="20" spans="1:3">
      <c r="A20" s="7" t="s">
        <v>369</v>
      </c>
      <c r="B20" s="7">
        <v>1</v>
      </c>
      <c r="C20" s="11">
        <v>9.2999999999999992E-3</v>
      </c>
    </row>
    <row r="21" spans="1:3">
      <c r="A21" s="7" t="s">
        <v>313</v>
      </c>
      <c r="B21" s="7">
        <v>1</v>
      </c>
      <c r="C21" s="11">
        <v>9.2999999999999992E-3</v>
      </c>
    </row>
    <row r="22" spans="1:3">
      <c r="A22" s="7" t="s">
        <v>317</v>
      </c>
      <c r="B22" s="7">
        <v>1</v>
      </c>
      <c r="C22" s="11">
        <v>9.2999999999999992E-3</v>
      </c>
    </row>
    <row r="23" spans="1:3">
      <c r="A23" s="7" t="s">
        <v>327</v>
      </c>
      <c r="B23" s="7">
        <v>1</v>
      </c>
      <c r="C23" s="11">
        <v>9.2999999999999992E-3</v>
      </c>
    </row>
    <row r="24" spans="1:3">
      <c r="A24" s="7" t="s">
        <v>178</v>
      </c>
      <c r="B24" s="7">
        <v>1</v>
      </c>
      <c r="C24" s="11">
        <v>9.2999999999999992E-3</v>
      </c>
    </row>
    <row r="25" spans="1:3">
      <c r="A25" s="7" t="s">
        <v>60</v>
      </c>
      <c r="B25" s="7">
        <v>1</v>
      </c>
      <c r="C25" s="11">
        <v>9.2999999999999992E-3</v>
      </c>
    </row>
    <row r="26" spans="1:3">
      <c r="A26" s="7" t="s">
        <v>370</v>
      </c>
      <c r="B26" s="7">
        <v>1</v>
      </c>
      <c r="C26" s="11">
        <v>9.2999999999999992E-3</v>
      </c>
    </row>
    <row r="27" spans="1:3">
      <c r="A27" s="7" t="s">
        <v>316</v>
      </c>
      <c r="B27" s="7">
        <v>1</v>
      </c>
      <c r="C27" s="11">
        <v>9.2999999999999992E-3</v>
      </c>
    </row>
    <row r="28" spans="1:3">
      <c r="A28" s="7" t="s">
        <v>72</v>
      </c>
      <c r="B28" s="7">
        <v>1</v>
      </c>
      <c r="C28" s="11">
        <v>9.2999999999999992E-3</v>
      </c>
    </row>
    <row r="29" spans="1:3">
      <c r="A29" s="7" t="s">
        <v>344</v>
      </c>
      <c r="B29" s="7">
        <v>1</v>
      </c>
      <c r="C29" s="11">
        <v>9.2999999999999992E-3</v>
      </c>
    </row>
    <row r="30" spans="1:3">
      <c r="A30" s="7" t="s">
        <v>57</v>
      </c>
      <c r="B30" s="7">
        <v>1</v>
      </c>
      <c r="C30" s="11">
        <v>9.2999999999999992E-3</v>
      </c>
    </row>
    <row r="31" spans="1:3">
      <c r="A31" s="7" t="s">
        <v>371</v>
      </c>
      <c r="B31" s="7">
        <v>1</v>
      </c>
      <c r="C31" s="11">
        <v>9.2999999999999992E-3</v>
      </c>
    </row>
    <row r="32" spans="1:3">
      <c r="A32" s="7" t="s">
        <v>321</v>
      </c>
      <c r="B32" s="7">
        <v>1</v>
      </c>
      <c r="C32" s="11">
        <v>9.2999999999999992E-3</v>
      </c>
    </row>
    <row r="33" spans="1:3">
      <c r="A33" s="7" t="s">
        <v>372</v>
      </c>
      <c r="B33" s="7">
        <v>1</v>
      </c>
      <c r="C33" s="11">
        <v>9.2999999999999992E-3</v>
      </c>
    </row>
    <row r="34" spans="1:3">
      <c r="A34" s="7" t="s">
        <v>248</v>
      </c>
      <c r="B34" s="7">
        <v>1</v>
      </c>
      <c r="C34" s="11">
        <v>9.2999999999999992E-3</v>
      </c>
    </row>
    <row r="35" spans="1:3">
      <c r="A35" s="7" t="s">
        <v>373</v>
      </c>
      <c r="B35" s="7">
        <v>1</v>
      </c>
      <c r="C35" s="11">
        <v>9.2999999999999992E-3</v>
      </c>
    </row>
    <row r="36" spans="1:3">
      <c r="A36" s="7" t="s">
        <v>68</v>
      </c>
      <c r="B36" s="7">
        <v>1</v>
      </c>
      <c r="C36" s="11">
        <v>9.2999999999999992E-3</v>
      </c>
    </row>
    <row r="37" spans="1:3">
      <c r="A37" s="7" t="s">
        <v>323</v>
      </c>
      <c r="B37" s="7">
        <v>1</v>
      </c>
      <c r="C37" s="11">
        <v>9.2999999999999992E-3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D11"/>
  <sheetViews>
    <sheetView workbookViewId="0">
      <selection activeCell="B3" sqref="B3"/>
    </sheetView>
  </sheetViews>
  <sheetFormatPr baseColWidth="10" defaultColWidth="8.83203125" defaultRowHeight="15"/>
  <sheetData>
    <row r="1" spans="1:4">
      <c r="A1" s="7" t="s">
        <v>42</v>
      </c>
      <c r="B1" s="7" t="s">
        <v>12</v>
      </c>
      <c r="C1" s="1"/>
    </row>
    <row r="2" spans="1:4">
      <c r="A2" s="7" t="s">
        <v>43</v>
      </c>
      <c r="B2" s="7">
        <v>134</v>
      </c>
      <c r="C2" s="1"/>
      <c r="D2" s="1"/>
    </row>
    <row r="3" spans="1:4">
      <c r="A3" s="7" t="s">
        <v>44</v>
      </c>
      <c r="B3" s="7">
        <v>56</v>
      </c>
      <c r="C3" s="1"/>
      <c r="D3" s="1"/>
    </row>
    <row r="4" spans="1:4">
      <c r="A4" s="7" t="s">
        <v>49</v>
      </c>
      <c r="B4" s="7">
        <v>75</v>
      </c>
      <c r="C4" s="1"/>
      <c r="D4" s="1"/>
    </row>
    <row r="5" spans="1:4">
      <c r="A5" s="7" t="s">
        <v>46</v>
      </c>
      <c r="B5" s="7">
        <v>59</v>
      </c>
      <c r="C5" s="1"/>
      <c r="D5" s="1"/>
    </row>
    <row r="6" spans="1:4">
      <c r="A6" s="7" t="s">
        <v>50</v>
      </c>
      <c r="B6" s="7">
        <v>65</v>
      </c>
      <c r="C6" s="1"/>
      <c r="D6" s="1"/>
    </row>
    <row r="7" spans="1:4">
      <c r="A7" s="7" t="s">
        <v>48</v>
      </c>
      <c r="B7" s="7">
        <v>143</v>
      </c>
      <c r="C7" s="1"/>
      <c r="D7" s="1"/>
    </row>
    <row r="8" spans="1:4">
      <c r="A8" s="7"/>
      <c r="B8" s="7"/>
      <c r="C8" s="1"/>
      <c r="D8" s="1"/>
    </row>
    <row r="9" spans="1:4">
      <c r="A9" s="7"/>
      <c r="B9" s="7"/>
      <c r="C9" s="1"/>
      <c r="D9" s="1"/>
    </row>
    <row r="10" spans="1:4">
      <c r="A10" s="7"/>
      <c r="B10" s="7"/>
      <c r="C10" s="1"/>
      <c r="D10" s="1"/>
    </row>
    <row r="11" spans="1:4">
      <c r="A11" s="7"/>
      <c r="B11" s="7"/>
      <c r="C11" s="1"/>
      <c r="D11" s="1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17"/>
  <sheetViews>
    <sheetView workbookViewId="0">
      <selection activeCell="B3" sqref="B3"/>
    </sheetView>
  </sheetViews>
  <sheetFormatPr baseColWidth="10" defaultColWidth="8.83203125" defaultRowHeight="15"/>
  <sheetData>
    <row r="1" spans="1:4">
      <c r="A1" s="7" t="s">
        <v>42</v>
      </c>
      <c r="B1" s="7" t="s">
        <v>12</v>
      </c>
      <c r="C1" s="1"/>
    </row>
    <row r="2" spans="1:4">
      <c r="A2" s="7" t="s">
        <v>43</v>
      </c>
      <c r="B2" s="7">
        <v>112</v>
      </c>
      <c r="C2" s="1"/>
      <c r="D2" s="1"/>
    </row>
    <row r="3" spans="1:4">
      <c r="A3" s="7" t="s">
        <v>44</v>
      </c>
      <c r="B3" s="7">
        <v>40</v>
      </c>
      <c r="C3" s="1"/>
      <c r="D3" s="1"/>
    </row>
    <row r="4" spans="1:4">
      <c r="A4" s="7" t="s">
        <v>45</v>
      </c>
      <c r="B4" s="7">
        <v>19</v>
      </c>
      <c r="C4" s="1"/>
      <c r="D4" s="1"/>
    </row>
    <row r="5" spans="1:4">
      <c r="A5" s="7" t="s">
        <v>46</v>
      </c>
      <c r="B5" s="7">
        <v>21</v>
      </c>
      <c r="C5" s="1"/>
      <c r="D5" s="1"/>
    </row>
    <row r="6" spans="1:4">
      <c r="A6" s="7" t="s">
        <v>47</v>
      </c>
      <c r="B6" s="7">
        <v>5</v>
      </c>
      <c r="C6" s="1"/>
      <c r="D6" s="1"/>
    </row>
    <row r="7" spans="1:4">
      <c r="A7" s="7" t="s">
        <v>48</v>
      </c>
      <c r="B7" s="7">
        <v>4</v>
      </c>
      <c r="C7" s="1"/>
      <c r="D7" s="1"/>
    </row>
    <row r="8" spans="1:4">
      <c r="C8" s="1"/>
      <c r="D8" s="1"/>
    </row>
    <row r="9" spans="1:4">
      <c r="C9" s="1"/>
      <c r="D9" s="1"/>
    </row>
    <row r="10" spans="1:4">
      <c r="C10" s="1"/>
      <c r="D10" s="1"/>
    </row>
    <row r="11" spans="1:4">
      <c r="C11" s="1"/>
      <c r="D11" s="1"/>
    </row>
    <row r="13" spans="1:4">
      <c r="A13" s="7"/>
      <c r="B13" s="7"/>
    </row>
    <row r="14" spans="1:4">
      <c r="A14" s="7"/>
      <c r="B14" s="7"/>
    </row>
    <row r="16" spans="1:4">
      <c r="A16" s="7"/>
      <c r="B16" s="7"/>
    </row>
    <row r="17" spans="1:2">
      <c r="A17" s="7"/>
      <c r="B17" s="7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D177-42A6-A843-908F-513F21228C57}">
  <sheetPr codeName="Sheet103"/>
  <dimension ref="A1:AX103"/>
  <sheetViews>
    <sheetView workbookViewId="0">
      <selection activeCell="K36" sqref="K36"/>
    </sheetView>
  </sheetViews>
  <sheetFormatPr baseColWidth="10" defaultRowHeight="15"/>
  <cols>
    <col min="2" max="11" width="8.6640625" customWidth="1"/>
    <col min="12" max="12" width="10.1640625" customWidth="1"/>
    <col min="13" max="46" width="5.1640625" customWidth="1"/>
  </cols>
  <sheetData>
    <row r="1" spans="1:11">
      <c r="A1" t="s">
        <v>0</v>
      </c>
      <c r="B1" t="s">
        <v>30</v>
      </c>
      <c r="C1" t="s">
        <v>445</v>
      </c>
      <c r="D1" t="s">
        <v>163</v>
      </c>
      <c r="E1" t="s">
        <v>61</v>
      </c>
      <c r="F1" t="s">
        <v>241</v>
      </c>
      <c r="G1" s="105"/>
      <c r="H1" s="105"/>
      <c r="I1" s="105"/>
      <c r="J1" s="105"/>
      <c r="K1" s="105"/>
    </row>
    <row r="2" spans="1:11">
      <c r="A2">
        <v>1980</v>
      </c>
      <c r="C2">
        <v>494</v>
      </c>
      <c r="D2">
        <v>904</v>
      </c>
      <c r="E2">
        <v>17</v>
      </c>
      <c r="F2">
        <v>132</v>
      </c>
      <c r="G2" s="105"/>
      <c r="H2" s="105"/>
      <c r="I2" s="105"/>
      <c r="J2" s="105"/>
      <c r="K2" s="105"/>
    </row>
    <row r="3" spans="1:11">
      <c r="A3">
        <v>1981</v>
      </c>
      <c r="C3">
        <v>572</v>
      </c>
      <c r="D3">
        <v>973</v>
      </c>
      <c r="E3">
        <v>40</v>
      </c>
      <c r="F3">
        <v>149</v>
      </c>
      <c r="G3" s="105"/>
      <c r="H3" s="105"/>
      <c r="I3" s="105"/>
      <c r="J3" s="105"/>
      <c r="K3" s="105"/>
    </row>
    <row r="4" spans="1:11">
      <c r="A4">
        <v>1982</v>
      </c>
      <c r="C4">
        <v>541</v>
      </c>
      <c r="D4">
        <v>1225</v>
      </c>
      <c r="E4">
        <v>38</v>
      </c>
      <c r="F4">
        <v>176</v>
      </c>
      <c r="G4" s="105"/>
      <c r="H4" s="105"/>
      <c r="I4" s="105"/>
      <c r="J4" s="105"/>
      <c r="K4" s="105"/>
    </row>
    <row r="5" spans="1:11">
      <c r="A5">
        <v>1983</v>
      </c>
      <c r="C5">
        <v>508</v>
      </c>
      <c r="D5">
        <v>1302</v>
      </c>
      <c r="E5">
        <v>152</v>
      </c>
      <c r="F5">
        <v>198</v>
      </c>
      <c r="G5" s="105"/>
      <c r="H5" s="105"/>
      <c r="I5" s="105"/>
      <c r="J5" s="105"/>
      <c r="K5" s="105"/>
    </row>
    <row r="6" spans="1:11">
      <c r="A6">
        <v>1984</v>
      </c>
      <c r="C6">
        <v>584</v>
      </c>
      <c r="D6">
        <v>1431</v>
      </c>
      <c r="E6">
        <v>150</v>
      </c>
      <c r="F6">
        <v>247</v>
      </c>
      <c r="G6" s="105"/>
      <c r="H6" s="105"/>
      <c r="I6" s="105"/>
      <c r="J6" s="105"/>
      <c r="K6" s="105"/>
    </row>
    <row r="7" spans="1:11">
      <c r="A7">
        <v>1985</v>
      </c>
      <c r="B7">
        <v>1</v>
      </c>
      <c r="C7">
        <v>575</v>
      </c>
      <c r="D7">
        <v>1819</v>
      </c>
      <c r="E7">
        <v>141</v>
      </c>
      <c r="F7">
        <v>341</v>
      </c>
      <c r="G7" s="105"/>
      <c r="H7" s="105"/>
      <c r="I7" s="105"/>
      <c r="J7" s="105"/>
      <c r="K7" s="105"/>
    </row>
    <row r="8" spans="1:11">
      <c r="A8">
        <v>1986</v>
      </c>
      <c r="B8">
        <v>75</v>
      </c>
      <c r="C8">
        <v>618</v>
      </c>
      <c r="D8">
        <v>2172</v>
      </c>
      <c r="E8">
        <v>142</v>
      </c>
      <c r="F8">
        <v>393</v>
      </c>
      <c r="G8" s="105"/>
      <c r="H8" s="105"/>
      <c r="I8" s="105"/>
      <c r="J8" s="105"/>
      <c r="K8" s="105"/>
    </row>
    <row r="9" spans="1:11">
      <c r="A9">
        <v>1987</v>
      </c>
      <c r="B9">
        <v>136</v>
      </c>
      <c r="C9">
        <v>860</v>
      </c>
      <c r="D9">
        <v>2223</v>
      </c>
      <c r="E9">
        <v>189</v>
      </c>
      <c r="F9">
        <v>476</v>
      </c>
      <c r="G9" s="105"/>
      <c r="H9" s="105"/>
      <c r="I9" s="105"/>
      <c r="J9" s="105"/>
      <c r="K9" s="105"/>
    </row>
    <row r="10" spans="1:11">
      <c r="A10">
        <v>1988</v>
      </c>
      <c r="B10">
        <v>132</v>
      </c>
      <c r="C10">
        <v>831</v>
      </c>
      <c r="D10">
        <v>2602</v>
      </c>
      <c r="E10">
        <v>328</v>
      </c>
      <c r="F10">
        <v>590</v>
      </c>
      <c r="G10" s="105"/>
      <c r="H10" s="105"/>
      <c r="I10" s="105"/>
      <c r="J10" s="105"/>
      <c r="K10" s="105"/>
    </row>
    <row r="11" spans="1:11">
      <c r="A11">
        <v>1989</v>
      </c>
      <c r="B11">
        <v>149</v>
      </c>
      <c r="C11">
        <v>1048</v>
      </c>
      <c r="D11">
        <v>2388</v>
      </c>
      <c r="E11">
        <v>351</v>
      </c>
      <c r="F11">
        <v>733</v>
      </c>
      <c r="G11" s="105"/>
      <c r="H11" s="105"/>
      <c r="I11" s="105"/>
      <c r="J11" s="105"/>
      <c r="K11" s="105"/>
    </row>
    <row r="12" spans="1:11">
      <c r="A12">
        <v>1990</v>
      </c>
      <c r="B12">
        <v>133</v>
      </c>
      <c r="C12">
        <v>1060</v>
      </c>
      <c r="D12">
        <v>2711</v>
      </c>
      <c r="E12">
        <v>357</v>
      </c>
      <c r="F12">
        <v>859</v>
      </c>
      <c r="G12" s="105"/>
      <c r="H12" s="105"/>
      <c r="I12" s="105"/>
      <c r="J12" s="105"/>
      <c r="K12" s="105"/>
    </row>
    <row r="13" spans="1:11">
      <c r="A13">
        <v>1991</v>
      </c>
      <c r="B13">
        <v>129</v>
      </c>
      <c r="C13">
        <v>1200</v>
      </c>
      <c r="D13">
        <v>2455</v>
      </c>
      <c r="E13">
        <v>327</v>
      </c>
      <c r="F13">
        <v>991</v>
      </c>
      <c r="G13" s="105"/>
      <c r="H13" s="105"/>
      <c r="I13" s="105"/>
      <c r="J13" s="105"/>
      <c r="K13" s="105"/>
    </row>
    <row r="14" spans="1:11">
      <c r="A14">
        <v>1992</v>
      </c>
      <c r="B14">
        <v>134</v>
      </c>
      <c r="C14">
        <v>1512</v>
      </c>
      <c r="D14">
        <v>2465</v>
      </c>
      <c r="E14">
        <v>433</v>
      </c>
      <c r="F14">
        <v>1069</v>
      </c>
      <c r="G14" s="105"/>
      <c r="H14" s="105"/>
      <c r="I14" s="105"/>
      <c r="J14" s="105"/>
      <c r="K14" s="105"/>
    </row>
    <row r="15" spans="1:11">
      <c r="A15">
        <v>1993</v>
      </c>
      <c r="B15">
        <v>179</v>
      </c>
      <c r="C15">
        <v>1795</v>
      </c>
      <c r="D15">
        <v>2796</v>
      </c>
      <c r="E15">
        <v>321</v>
      </c>
      <c r="F15">
        <v>1209</v>
      </c>
      <c r="G15" s="105"/>
      <c r="H15" s="105"/>
      <c r="I15" s="105"/>
      <c r="J15" s="105"/>
      <c r="K15" s="105"/>
    </row>
    <row r="16" spans="1:11">
      <c r="A16">
        <v>1994</v>
      </c>
      <c r="B16">
        <v>248</v>
      </c>
      <c r="C16">
        <v>1589</v>
      </c>
      <c r="D16">
        <v>3114</v>
      </c>
      <c r="E16">
        <v>186</v>
      </c>
      <c r="F16">
        <v>1377</v>
      </c>
      <c r="G16" s="105"/>
      <c r="H16" s="105"/>
      <c r="I16" s="105"/>
      <c r="J16" s="105"/>
      <c r="K16" s="105"/>
    </row>
    <row r="17" spans="1:11">
      <c r="A17">
        <v>1995</v>
      </c>
      <c r="B17">
        <v>229</v>
      </c>
      <c r="C17">
        <v>1703</v>
      </c>
      <c r="D17">
        <v>2633</v>
      </c>
      <c r="E17">
        <v>416</v>
      </c>
      <c r="F17">
        <v>1538</v>
      </c>
      <c r="G17" s="105"/>
      <c r="H17" s="105"/>
      <c r="I17" s="105"/>
      <c r="J17" s="105"/>
      <c r="K17" s="105"/>
    </row>
    <row r="18" spans="1:11">
      <c r="A18">
        <v>1996</v>
      </c>
      <c r="B18">
        <v>345</v>
      </c>
      <c r="C18">
        <v>2305</v>
      </c>
      <c r="D18">
        <v>2423</v>
      </c>
      <c r="E18">
        <v>449</v>
      </c>
      <c r="F18">
        <v>2126</v>
      </c>
      <c r="G18" s="105"/>
      <c r="H18" s="105"/>
      <c r="I18" s="105"/>
      <c r="J18" s="105"/>
      <c r="K18" s="105"/>
    </row>
    <row r="19" spans="1:11">
      <c r="A19">
        <v>1997</v>
      </c>
      <c r="B19">
        <v>522</v>
      </c>
      <c r="C19">
        <v>3193</v>
      </c>
      <c r="D19">
        <v>2180</v>
      </c>
      <c r="E19">
        <v>480</v>
      </c>
      <c r="F19">
        <v>2055</v>
      </c>
      <c r="G19" s="105"/>
      <c r="H19" s="105"/>
      <c r="I19" s="105"/>
      <c r="J19" s="105"/>
      <c r="K19" s="105"/>
    </row>
    <row r="20" spans="1:11">
      <c r="A20">
        <v>1998</v>
      </c>
      <c r="B20">
        <v>629</v>
      </c>
      <c r="C20">
        <v>4520</v>
      </c>
      <c r="D20">
        <v>2330</v>
      </c>
      <c r="E20">
        <v>464</v>
      </c>
      <c r="F20">
        <v>2306</v>
      </c>
      <c r="G20" s="105"/>
      <c r="H20" s="105"/>
      <c r="I20" s="105"/>
      <c r="J20" s="105"/>
      <c r="K20" s="105"/>
    </row>
    <row r="21" spans="1:11">
      <c r="A21">
        <v>1999</v>
      </c>
      <c r="B21">
        <v>685</v>
      </c>
      <c r="C21">
        <v>4496</v>
      </c>
      <c r="D21">
        <v>2519</v>
      </c>
      <c r="E21">
        <v>776</v>
      </c>
      <c r="F21">
        <v>1548</v>
      </c>
      <c r="G21" s="105"/>
      <c r="H21" s="105"/>
      <c r="I21" s="105"/>
      <c r="J21" s="105"/>
      <c r="K21" s="105"/>
    </row>
    <row r="22" spans="1:11">
      <c r="A22">
        <v>2000</v>
      </c>
      <c r="B22">
        <v>880</v>
      </c>
      <c r="C22">
        <v>3864</v>
      </c>
      <c r="D22">
        <v>2607</v>
      </c>
      <c r="E22">
        <v>876</v>
      </c>
      <c r="F22">
        <v>1694</v>
      </c>
      <c r="G22" s="105"/>
      <c r="H22" s="105"/>
      <c r="I22" s="105"/>
      <c r="J22" s="105"/>
      <c r="K22" s="105"/>
    </row>
    <row r="23" spans="1:11">
      <c r="A23">
        <v>2001</v>
      </c>
      <c r="B23">
        <v>2374</v>
      </c>
      <c r="C23">
        <v>5333</v>
      </c>
      <c r="D23">
        <v>3398</v>
      </c>
      <c r="E23">
        <v>1485</v>
      </c>
      <c r="F23">
        <v>1915</v>
      </c>
      <c r="G23" s="105"/>
      <c r="H23" s="105"/>
      <c r="I23" s="105"/>
      <c r="J23" s="105"/>
      <c r="K23" s="105"/>
    </row>
    <row r="24" spans="1:11">
      <c r="A24">
        <v>2002</v>
      </c>
      <c r="B24">
        <v>2570</v>
      </c>
      <c r="C24">
        <v>10029</v>
      </c>
      <c r="D24">
        <v>4662</v>
      </c>
      <c r="E24">
        <v>1314</v>
      </c>
      <c r="F24">
        <v>1036</v>
      </c>
      <c r="G24" s="105"/>
      <c r="H24" s="105"/>
      <c r="I24" s="105"/>
      <c r="J24" s="105"/>
      <c r="K24" s="105"/>
    </row>
    <row r="25" spans="1:11">
      <c r="A25">
        <v>2003</v>
      </c>
      <c r="B25">
        <v>1787</v>
      </c>
      <c r="C25">
        <v>12328</v>
      </c>
      <c r="D25">
        <v>4029</v>
      </c>
      <c r="E25">
        <v>1239</v>
      </c>
      <c r="F25">
        <v>987</v>
      </c>
      <c r="G25" s="105"/>
      <c r="H25" s="105"/>
      <c r="I25" s="105"/>
      <c r="J25" s="105"/>
      <c r="K25" s="105"/>
    </row>
    <row r="26" spans="1:11">
      <c r="A26">
        <v>2004</v>
      </c>
      <c r="B26">
        <v>2028</v>
      </c>
      <c r="C26">
        <v>9665</v>
      </c>
      <c r="D26">
        <v>4571</v>
      </c>
      <c r="E26">
        <v>1354</v>
      </c>
      <c r="F26">
        <v>1801</v>
      </c>
      <c r="G26" s="105"/>
      <c r="H26" s="105"/>
      <c r="I26" s="105"/>
      <c r="J26" s="105"/>
      <c r="K26" s="105"/>
    </row>
    <row r="27" spans="1:11">
      <c r="A27">
        <v>2005</v>
      </c>
      <c r="B27">
        <v>3353</v>
      </c>
      <c r="C27">
        <v>8641</v>
      </c>
      <c r="D27">
        <v>4567</v>
      </c>
      <c r="E27">
        <v>1384</v>
      </c>
      <c r="F27">
        <v>1886</v>
      </c>
      <c r="G27" s="105"/>
      <c r="H27" s="105"/>
      <c r="I27" s="105"/>
      <c r="J27" s="105"/>
      <c r="K27" s="105"/>
    </row>
    <row r="28" spans="1:11">
      <c r="A28">
        <v>2006</v>
      </c>
      <c r="B28">
        <v>3512</v>
      </c>
      <c r="C28">
        <v>7376</v>
      </c>
      <c r="D28">
        <v>3902</v>
      </c>
      <c r="E28">
        <v>1490</v>
      </c>
      <c r="F28">
        <v>2098</v>
      </c>
      <c r="G28" s="105"/>
      <c r="H28" s="105"/>
      <c r="I28" s="105"/>
      <c r="J28" s="105"/>
      <c r="K28" s="105"/>
    </row>
    <row r="29" spans="1:11">
      <c r="A29">
        <v>2007</v>
      </c>
      <c r="B29">
        <v>4192</v>
      </c>
      <c r="C29">
        <v>6451</v>
      </c>
      <c r="D29">
        <v>3961</v>
      </c>
      <c r="E29">
        <v>1947</v>
      </c>
      <c r="F29">
        <v>2219</v>
      </c>
      <c r="G29" s="105"/>
      <c r="H29" s="105"/>
      <c r="I29" s="105"/>
      <c r="J29" s="105"/>
      <c r="K29" s="105"/>
    </row>
    <row r="30" spans="1:11">
      <c r="A30">
        <v>2008</v>
      </c>
      <c r="B30">
        <v>5177</v>
      </c>
      <c r="C30">
        <v>6687</v>
      </c>
      <c r="D30">
        <v>4473</v>
      </c>
      <c r="E30">
        <v>1895</v>
      </c>
      <c r="F30">
        <v>1838</v>
      </c>
      <c r="G30" s="105"/>
      <c r="H30" s="105"/>
      <c r="I30" s="105"/>
      <c r="J30" s="105"/>
      <c r="K30" s="105"/>
    </row>
    <row r="31" spans="1:11">
      <c r="A31">
        <v>2009</v>
      </c>
      <c r="B31">
        <v>6322</v>
      </c>
      <c r="C31">
        <v>8193</v>
      </c>
      <c r="D31">
        <v>4285</v>
      </c>
      <c r="E31">
        <v>1860</v>
      </c>
      <c r="F31">
        <v>1554</v>
      </c>
      <c r="G31" s="105"/>
      <c r="H31" s="105"/>
      <c r="I31" s="105"/>
      <c r="J31" s="105"/>
      <c r="K31" s="105"/>
    </row>
    <row r="32" spans="1:11">
      <c r="A32">
        <v>2010</v>
      </c>
      <c r="B32">
        <v>7091</v>
      </c>
      <c r="C32">
        <v>8724</v>
      </c>
      <c r="D32">
        <v>4037</v>
      </c>
      <c r="E32">
        <v>2062</v>
      </c>
      <c r="F32">
        <v>785</v>
      </c>
      <c r="G32" s="105"/>
      <c r="H32" s="105"/>
      <c r="I32" s="105"/>
      <c r="J32" s="105"/>
      <c r="K32" s="105"/>
    </row>
    <row r="33" spans="1:50">
      <c r="A33">
        <v>2011</v>
      </c>
      <c r="B33">
        <v>8985</v>
      </c>
      <c r="C33">
        <v>8334</v>
      </c>
      <c r="D33">
        <v>3438</v>
      </c>
      <c r="E33">
        <v>2158</v>
      </c>
      <c r="F33">
        <v>900</v>
      </c>
      <c r="G33" s="105"/>
      <c r="H33" s="105"/>
      <c r="I33" s="105"/>
      <c r="J33" s="105"/>
      <c r="K33" s="105"/>
    </row>
    <row r="34" spans="1:50">
      <c r="A34">
        <v>2012</v>
      </c>
      <c r="B34">
        <v>10792</v>
      </c>
      <c r="C34">
        <v>7604</v>
      </c>
      <c r="D34">
        <v>3467</v>
      </c>
      <c r="E34">
        <v>2311</v>
      </c>
      <c r="F34">
        <v>1537</v>
      </c>
      <c r="G34" s="105"/>
      <c r="H34" s="105"/>
      <c r="I34" s="105"/>
      <c r="J34" s="105"/>
      <c r="K34" s="105"/>
    </row>
    <row r="35" spans="1:50">
      <c r="A35">
        <v>2013</v>
      </c>
      <c r="B35">
        <v>11797</v>
      </c>
      <c r="C35">
        <v>8497</v>
      </c>
      <c r="D35">
        <v>3976</v>
      </c>
      <c r="E35">
        <v>2460</v>
      </c>
      <c r="F35">
        <v>1749</v>
      </c>
      <c r="G35" s="105"/>
      <c r="H35" s="105"/>
      <c r="I35" s="105"/>
      <c r="J35" s="105"/>
      <c r="K35" s="105"/>
    </row>
    <row r="36" spans="1:50">
      <c r="A36">
        <v>2014</v>
      </c>
      <c r="B36">
        <v>13579</v>
      </c>
      <c r="C36">
        <v>9570</v>
      </c>
      <c r="D36">
        <v>3442</v>
      </c>
      <c r="E36">
        <v>3082</v>
      </c>
      <c r="F36">
        <v>1594</v>
      </c>
      <c r="G36" s="105"/>
      <c r="H36" s="105"/>
      <c r="I36" s="105"/>
      <c r="J36" s="105"/>
      <c r="K36" s="105"/>
    </row>
    <row r="37" spans="1:50">
      <c r="A37">
        <v>2015</v>
      </c>
      <c r="B37">
        <v>16829</v>
      </c>
      <c r="C37">
        <v>9295</v>
      </c>
      <c r="D37">
        <v>3749</v>
      </c>
      <c r="E37">
        <v>3046</v>
      </c>
      <c r="F37">
        <v>1777</v>
      </c>
      <c r="G37" s="105"/>
      <c r="H37" s="105"/>
      <c r="I37" s="105"/>
      <c r="J37" s="105"/>
      <c r="K37" s="105"/>
    </row>
    <row r="38" spans="1:50">
      <c r="A38">
        <v>2016</v>
      </c>
      <c r="B38">
        <v>16869</v>
      </c>
      <c r="C38">
        <v>9658</v>
      </c>
      <c r="D38">
        <v>3917</v>
      </c>
      <c r="E38">
        <v>2868</v>
      </c>
      <c r="F38">
        <v>1720</v>
      </c>
      <c r="G38" s="105"/>
      <c r="H38" s="105"/>
      <c r="I38" s="105"/>
      <c r="J38" s="105"/>
      <c r="K38" s="105"/>
    </row>
    <row r="39" spans="1:50">
      <c r="A39">
        <v>2017</v>
      </c>
      <c r="B39">
        <v>20539</v>
      </c>
      <c r="C39">
        <v>9267</v>
      </c>
      <c r="D39">
        <v>4718</v>
      </c>
      <c r="E39">
        <v>3066</v>
      </c>
      <c r="F39">
        <v>1925</v>
      </c>
      <c r="G39" s="105"/>
      <c r="H39" s="105"/>
      <c r="I39" s="105"/>
      <c r="J39" s="105"/>
      <c r="K39" s="105"/>
    </row>
    <row r="40" spans="1:50">
      <c r="A40">
        <v>2018</v>
      </c>
      <c r="B40">
        <v>23288</v>
      </c>
      <c r="C40">
        <v>9302</v>
      </c>
      <c r="D40">
        <v>4189</v>
      </c>
      <c r="E40">
        <v>3087</v>
      </c>
      <c r="F40">
        <v>2186</v>
      </c>
      <c r="G40" s="105"/>
      <c r="H40" s="105"/>
      <c r="I40" s="105"/>
      <c r="J40" s="105"/>
      <c r="K40" s="105"/>
    </row>
    <row r="41" spans="1:50">
      <c r="A41">
        <v>2019</v>
      </c>
      <c r="B41">
        <v>25416</v>
      </c>
      <c r="C41">
        <v>9954</v>
      </c>
      <c r="D41">
        <v>4486</v>
      </c>
      <c r="E41">
        <v>3341</v>
      </c>
      <c r="F41">
        <v>2119</v>
      </c>
      <c r="G41" s="105"/>
      <c r="H41" s="105"/>
      <c r="I41" s="105"/>
      <c r="J41" s="105"/>
      <c r="K41" s="105"/>
    </row>
    <row r="42" spans="1:50">
      <c r="A42">
        <v>2020</v>
      </c>
      <c r="B42">
        <v>24586</v>
      </c>
      <c r="C42">
        <v>10204</v>
      </c>
      <c r="D42">
        <v>4778</v>
      </c>
      <c r="E42">
        <v>3699</v>
      </c>
      <c r="F42">
        <v>1993</v>
      </c>
      <c r="G42" s="105"/>
      <c r="H42" s="105"/>
      <c r="I42" s="105"/>
      <c r="J42" s="105"/>
      <c r="K42" s="105"/>
    </row>
    <row r="43" spans="1:50">
      <c r="A43">
        <v>2021</v>
      </c>
      <c r="B43">
        <v>28086</v>
      </c>
      <c r="C43">
        <v>11056</v>
      </c>
      <c r="D43">
        <v>5727</v>
      </c>
      <c r="E43">
        <v>4254</v>
      </c>
      <c r="F43">
        <v>2632</v>
      </c>
    </row>
    <row r="44" spans="1:50">
      <c r="A44">
        <v>2022</v>
      </c>
      <c r="B44">
        <v>27201</v>
      </c>
      <c r="C44">
        <v>11243</v>
      </c>
      <c r="D44">
        <v>6591</v>
      </c>
      <c r="E44">
        <v>4592</v>
      </c>
      <c r="F44">
        <v>2596</v>
      </c>
    </row>
    <row r="45" spans="1:50" ht="20">
      <c r="A45">
        <v>2023</v>
      </c>
      <c r="B45">
        <v>35912</v>
      </c>
      <c r="C45">
        <v>11275</v>
      </c>
      <c r="D45">
        <v>6761</v>
      </c>
      <c r="E45">
        <v>4974</v>
      </c>
      <c r="F45">
        <v>2161</v>
      </c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</row>
    <row r="46" spans="1:50" ht="20">
      <c r="A46">
        <v>2024</v>
      </c>
      <c r="B46">
        <v>40450</v>
      </c>
      <c r="C46">
        <v>11888</v>
      </c>
      <c r="D46">
        <v>6209</v>
      </c>
      <c r="E46">
        <v>4577</v>
      </c>
      <c r="F46">
        <v>2768</v>
      </c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</row>
    <row r="47" spans="1:50" ht="20"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</row>
    <row r="48" spans="1:50" ht="20"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</row>
    <row r="49" spans="7:50" ht="20"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</row>
    <row r="50" spans="7:50" ht="20"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</row>
    <row r="51" spans="7:50" ht="20"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</row>
    <row r="52" spans="7:50" ht="20"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</row>
    <row r="53" spans="7:50" ht="20"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</row>
    <row r="54" spans="7:50" ht="20"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</row>
    <row r="57" spans="7:50" ht="20">
      <c r="G57" s="104"/>
      <c r="H57" s="104"/>
      <c r="I57" s="104"/>
      <c r="J57" s="104"/>
      <c r="K57" s="104"/>
      <c r="L57" s="104"/>
    </row>
    <row r="58" spans="7:50">
      <c r="G58" s="105"/>
      <c r="H58" s="105"/>
      <c r="I58" s="105"/>
      <c r="J58" s="105"/>
      <c r="K58" s="105"/>
      <c r="L58" s="105" t="s">
        <v>445</v>
      </c>
    </row>
    <row r="59" spans="7:50">
      <c r="G59" s="105"/>
      <c r="H59" s="105"/>
      <c r="I59" s="105"/>
      <c r="J59" s="105"/>
      <c r="K59" s="105"/>
      <c r="L59" s="105">
        <v>494</v>
      </c>
    </row>
    <row r="60" spans="7:50">
      <c r="G60" s="105"/>
      <c r="H60" s="105"/>
      <c r="I60" s="105"/>
      <c r="J60" s="105"/>
      <c r="K60" s="105"/>
      <c r="L60" s="105">
        <v>572</v>
      </c>
    </row>
    <row r="61" spans="7:50">
      <c r="G61" s="105"/>
      <c r="H61" s="105"/>
      <c r="I61" s="105"/>
      <c r="J61" s="105"/>
      <c r="K61" s="105"/>
      <c r="L61" s="105">
        <v>541</v>
      </c>
    </row>
    <row r="62" spans="7:50">
      <c r="G62" s="105"/>
      <c r="H62" s="105"/>
      <c r="I62" s="105"/>
      <c r="J62" s="105"/>
      <c r="K62" s="105"/>
      <c r="L62" s="105">
        <v>508</v>
      </c>
    </row>
    <row r="63" spans="7:50">
      <c r="G63" s="105"/>
      <c r="H63" s="105"/>
      <c r="I63" s="105"/>
      <c r="J63" s="105"/>
      <c r="K63" s="105"/>
      <c r="L63" s="105">
        <v>584</v>
      </c>
    </row>
    <row r="64" spans="7:50">
      <c r="G64" s="105"/>
      <c r="H64" s="105"/>
      <c r="I64" s="105"/>
      <c r="J64" s="105"/>
      <c r="K64" s="105"/>
      <c r="L64" s="105">
        <v>575</v>
      </c>
    </row>
    <row r="65" spans="7:12">
      <c r="G65" s="105"/>
      <c r="H65" s="105"/>
      <c r="I65" s="105"/>
      <c r="J65" s="105"/>
      <c r="K65" s="105"/>
      <c r="L65" s="105">
        <v>618</v>
      </c>
    </row>
    <row r="66" spans="7:12">
      <c r="G66" s="105"/>
      <c r="H66" s="105"/>
      <c r="I66" s="105"/>
      <c r="J66" s="105"/>
      <c r="K66" s="105"/>
      <c r="L66" s="105">
        <v>860</v>
      </c>
    </row>
    <row r="67" spans="7:12">
      <c r="G67" s="105"/>
      <c r="H67" s="105"/>
      <c r="I67" s="105"/>
      <c r="J67" s="105"/>
      <c r="K67" s="105"/>
      <c r="L67" s="105">
        <v>831</v>
      </c>
    </row>
    <row r="68" spans="7:12">
      <c r="G68" s="105"/>
      <c r="H68" s="105"/>
      <c r="I68" s="105"/>
      <c r="J68" s="105"/>
      <c r="K68" s="105"/>
      <c r="L68" s="105">
        <v>1048</v>
      </c>
    </row>
    <row r="69" spans="7:12">
      <c r="G69" s="105"/>
      <c r="H69" s="105"/>
      <c r="I69" s="105"/>
      <c r="J69" s="105"/>
      <c r="K69" s="105"/>
      <c r="L69" s="105">
        <v>1060</v>
      </c>
    </row>
    <row r="70" spans="7:12">
      <c r="G70" s="105"/>
      <c r="H70" s="105"/>
      <c r="I70" s="105"/>
      <c r="J70" s="105"/>
      <c r="K70" s="105"/>
      <c r="L70" s="105">
        <v>1200</v>
      </c>
    </row>
    <row r="71" spans="7:12">
      <c r="G71" s="105"/>
      <c r="H71" s="105"/>
      <c r="I71" s="105"/>
      <c r="J71" s="105"/>
      <c r="K71" s="105"/>
      <c r="L71" s="105">
        <v>1512</v>
      </c>
    </row>
    <row r="72" spans="7:12">
      <c r="G72" s="105"/>
      <c r="H72" s="105"/>
      <c r="I72" s="105"/>
      <c r="J72" s="105"/>
      <c r="K72" s="105"/>
      <c r="L72" s="105">
        <v>1795</v>
      </c>
    </row>
    <row r="73" spans="7:12">
      <c r="G73" s="105"/>
      <c r="H73" s="105"/>
      <c r="I73" s="105"/>
      <c r="J73" s="105"/>
      <c r="K73" s="105"/>
      <c r="L73" s="105">
        <v>1589</v>
      </c>
    </row>
    <row r="74" spans="7:12">
      <c r="G74" s="105"/>
      <c r="H74" s="105"/>
      <c r="I74" s="105"/>
      <c r="J74" s="105"/>
      <c r="K74" s="105"/>
      <c r="L74" s="105">
        <v>1703</v>
      </c>
    </row>
    <row r="75" spans="7:12">
      <c r="G75" s="105"/>
      <c r="H75" s="105"/>
      <c r="I75" s="105"/>
      <c r="J75" s="105"/>
      <c r="K75" s="105"/>
      <c r="L75" s="105">
        <v>2305</v>
      </c>
    </row>
    <row r="76" spans="7:12">
      <c r="G76" s="105"/>
      <c r="H76" s="105"/>
      <c r="I76" s="105"/>
      <c r="J76" s="105"/>
      <c r="K76" s="105"/>
      <c r="L76" s="105">
        <v>3193</v>
      </c>
    </row>
    <row r="77" spans="7:12">
      <c r="G77" s="105"/>
      <c r="H77" s="105"/>
      <c r="I77" s="105"/>
      <c r="J77" s="105"/>
      <c r="K77" s="105"/>
      <c r="L77" s="105">
        <v>4520</v>
      </c>
    </row>
    <row r="78" spans="7:12">
      <c r="G78" s="105"/>
      <c r="H78" s="105"/>
      <c r="I78" s="105"/>
      <c r="J78" s="105"/>
      <c r="K78" s="105"/>
      <c r="L78" s="105">
        <v>4496</v>
      </c>
    </row>
    <row r="79" spans="7:12">
      <c r="G79" s="105"/>
      <c r="H79" s="105"/>
      <c r="I79" s="105"/>
      <c r="J79" s="105"/>
      <c r="K79" s="105"/>
      <c r="L79" s="105">
        <v>3864</v>
      </c>
    </row>
    <row r="80" spans="7:12">
      <c r="G80" s="105"/>
      <c r="H80" s="105"/>
      <c r="I80" s="105"/>
      <c r="J80" s="105"/>
      <c r="K80" s="105"/>
      <c r="L80" s="105">
        <v>5333</v>
      </c>
    </row>
    <row r="81" spans="7:12">
      <c r="G81" s="105"/>
      <c r="H81" s="105"/>
      <c r="I81" s="105"/>
      <c r="J81" s="105"/>
      <c r="K81" s="105"/>
      <c r="L81" s="105">
        <v>10029</v>
      </c>
    </row>
    <row r="82" spans="7:12">
      <c r="G82" s="105"/>
      <c r="H82" s="105"/>
      <c r="I82" s="105"/>
      <c r="J82" s="105"/>
      <c r="K82" s="105"/>
      <c r="L82" s="105">
        <v>12328</v>
      </c>
    </row>
    <row r="83" spans="7:12">
      <c r="G83" s="105"/>
      <c r="H83" s="105"/>
      <c r="I83" s="105"/>
      <c r="J83" s="105"/>
      <c r="K83" s="105"/>
      <c r="L83" s="105">
        <v>9665</v>
      </c>
    </row>
    <row r="84" spans="7:12">
      <c r="G84" s="105"/>
      <c r="H84" s="105"/>
      <c r="I84" s="105"/>
      <c r="J84" s="105"/>
      <c r="K84" s="105"/>
      <c r="L84" s="105">
        <v>8641</v>
      </c>
    </row>
    <row r="85" spans="7:12">
      <c r="G85" s="105"/>
      <c r="H85" s="105"/>
      <c r="I85" s="105"/>
      <c r="J85" s="105"/>
      <c r="K85" s="105"/>
      <c r="L85" s="105">
        <v>7376</v>
      </c>
    </row>
    <row r="86" spans="7:12">
      <c r="G86" s="105"/>
      <c r="H86" s="105"/>
      <c r="I86" s="105"/>
      <c r="J86" s="105"/>
      <c r="K86" s="105"/>
      <c r="L86" s="105">
        <v>6451</v>
      </c>
    </row>
    <row r="87" spans="7:12">
      <c r="G87" s="105"/>
      <c r="H87" s="105"/>
      <c r="I87" s="105"/>
      <c r="J87" s="105"/>
      <c r="K87" s="105"/>
      <c r="L87" s="105">
        <v>6687</v>
      </c>
    </row>
    <row r="88" spans="7:12">
      <c r="G88" s="105"/>
      <c r="H88" s="105"/>
      <c r="I88" s="105"/>
      <c r="J88" s="105"/>
      <c r="K88" s="105"/>
      <c r="L88" s="105">
        <v>8193</v>
      </c>
    </row>
    <row r="89" spans="7:12">
      <c r="G89" s="105"/>
      <c r="H89" s="105"/>
      <c r="I89" s="105"/>
      <c r="J89" s="105"/>
      <c r="K89" s="105"/>
      <c r="L89" s="105">
        <v>8724</v>
      </c>
    </row>
    <row r="90" spans="7:12">
      <c r="G90" s="105"/>
      <c r="H90" s="105"/>
      <c r="I90" s="105"/>
      <c r="J90" s="105"/>
      <c r="K90" s="105"/>
      <c r="L90" s="105">
        <v>8334</v>
      </c>
    </row>
    <row r="91" spans="7:12">
      <c r="G91" s="105"/>
      <c r="H91" s="105"/>
      <c r="I91" s="105"/>
      <c r="J91" s="105"/>
      <c r="K91" s="105"/>
      <c r="L91" s="105">
        <v>7604</v>
      </c>
    </row>
    <row r="92" spans="7:12">
      <c r="G92" s="105"/>
      <c r="H92" s="105"/>
      <c r="I92" s="105"/>
      <c r="J92" s="105"/>
      <c r="K92" s="105"/>
      <c r="L92" s="105">
        <v>8497</v>
      </c>
    </row>
    <row r="93" spans="7:12">
      <c r="G93" s="105"/>
      <c r="H93" s="105"/>
      <c r="I93" s="105"/>
      <c r="J93" s="105"/>
      <c r="K93" s="105"/>
      <c r="L93" s="105">
        <v>9570</v>
      </c>
    </row>
    <row r="94" spans="7:12">
      <c r="G94" s="105"/>
      <c r="H94" s="105"/>
      <c r="I94" s="105"/>
      <c r="J94" s="105"/>
      <c r="K94" s="105"/>
      <c r="L94" s="105">
        <v>9295</v>
      </c>
    </row>
    <row r="95" spans="7:12">
      <c r="G95" s="105"/>
      <c r="H95" s="105"/>
      <c r="I95" s="105"/>
      <c r="J95" s="105"/>
      <c r="K95" s="105"/>
      <c r="L95" s="105">
        <v>9658</v>
      </c>
    </row>
    <row r="96" spans="7:12">
      <c r="G96" s="105"/>
      <c r="H96" s="105"/>
      <c r="I96" s="105"/>
      <c r="J96" s="105"/>
      <c r="K96" s="105"/>
      <c r="L96" s="105">
        <v>9267</v>
      </c>
    </row>
    <row r="97" spans="7:12">
      <c r="G97" s="105"/>
      <c r="H97" s="105"/>
      <c r="I97" s="105"/>
      <c r="J97" s="105"/>
      <c r="K97" s="105"/>
      <c r="L97" s="105">
        <v>9302</v>
      </c>
    </row>
    <row r="98" spans="7:12">
      <c r="G98" s="105"/>
      <c r="H98" s="105"/>
      <c r="I98" s="105"/>
      <c r="J98" s="105"/>
      <c r="K98" s="105"/>
      <c r="L98" s="105">
        <v>9954</v>
      </c>
    </row>
    <row r="99" spans="7:12">
      <c r="G99" s="105"/>
      <c r="H99" s="105"/>
      <c r="I99" s="105"/>
      <c r="J99" s="105"/>
      <c r="K99" s="105"/>
      <c r="L99" s="105">
        <v>10204</v>
      </c>
    </row>
    <row r="100" spans="7:12">
      <c r="G100" s="105"/>
      <c r="H100" s="105"/>
      <c r="I100" s="105"/>
      <c r="J100" s="105"/>
      <c r="K100" s="105"/>
      <c r="L100" s="105">
        <v>11056</v>
      </c>
    </row>
    <row r="101" spans="7:12">
      <c r="G101" s="105"/>
      <c r="H101" s="105"/>
      <c r="I101" s="105"/>
      <c r="J101" s="105"/>
      <c r="K101" s="105"/>
      <c r="L101" s="105">
        <v>11243</v>
      </c>
    </row>
    <row r="102" spans="7:12">
      <c r="G102" s="105"/>
      <c r="H102" s="105"/>
      <c r="I102" s="105"/>
      <c r="J102" s="105"/>
      <c r="K102" s="105"/>
      <c r="L102" s="105">
        <v>11275</v>
      </c>
    </row>
    <row r="103" spans="7:12">
      <c r="G103" s="105"/>
      <c r="H103" s="105"/>
      <c r="I103" s="105"/>
      <c r="J103" s="105"/>
      <c r="K103" s="105"/>
      <c r="L103" s="105">
        <v>11888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F0B4-F85B-384A-971F-15651E9B99B8}">
  <sheetPr codeName="Sheet104"/>
  <dimension ref="A1:K46"/>
  <sheetViews>
    <sheetView workbookViewId="0">
      <selection activeCell="A2" sqref="A2"/>
    </sheetView>
  </sheetViews>
  <sheetFormatPr baseColWidth="10" defaultRowHeight="15"/>
  <cols>
    <col min="2" max="11" width="13" customWidth="1"/>
    <col min="12" max="46" width="5.6640625" customWidth="1"/>
  </cols>
  <sheetData>
    <row r="1" spans="1:11">
      <c r="A1" t="s">
        <v>0</v>
      </c>
      <c r="B1" t="s">
        <v>30</v>
      </c>
      <c r="C1" t="s">
        <v>445</v>
      </c>
      <c r="D1" t="s">
        <v>163</v>
      </c>
      <c r="E1" t="s">
        <v>61</v>
      </c>
      <c r="F1" t="s">
        <v>55</v>
      </c>
      <c r="G1" s="7"/>
      <c r="H1" s="7"/>
      <c r="I1" s="7"/>
      <c r="J1" s="7"/>
      <c r="K1" s="7"/>
    </row>
    <row r="2" spans="1:11">
      <c r="A2">
        <v>1980</v>
      </c>
      <c r="C2">
        <v>799</v>
      </c>
      <c r="D2">
        <v>6247</v>
      </c>
      <c r="E2">
        <v>22</v>
      </c>
      <c r="F2">
        <v>492</v>
      </c>
      <c r="G2" s="7"/>
      <c r="H2" s="7"/>
      <c r="I2" s="7"/>
      <c r="J2" s="7"/>
      <c r="K2" s="7"/>
    </row>
    <row r="3" spans="1:11">
      <c r="A3">
        <v>1981</v>
      </c>
      <c r="C3">
        <v>842</v>
      </c>
      <c r="D3">
        <v>6693</v>
      </c>
      <c r="E3">
        <v>27</v>
      </c>
      <c r="F3">
        <v>421</v>
      </c>
      <c r="G3" s="7"/>
      <c r="H3" s="7"/>
      <c r="I3" s="7"/>
      <c r="J3" s="7"/>
      <c r="K3" s="7"/>
    </row>
    <row r="4" spans="1:11">
      <c r="A4">
        <v>1982</v>
      </c>
      <c r="C4">
        <v>810</v>
      </c>
      <c r="D4">
        <v>8904</v>
      </c>
      <c r="E4">
        <v>22</v>
      </c>
      <c r="F4">
        <v>501</v>
      </c>
      <c r="G4" s="7"/>
      <c r="H4" s="7"/>
      <c r="I4" s="7"/>
      <c r="J4" s="7"/>
      <c r="K4" s="7"/>
    </row>
    <row r="5" spans="1:11">
      <c r="A5">
        <v>1983</v>
      </c>
      <c r="C5">
        <v>899</v>
      </c>
      <c r="D5">
        <v>10080</v>
      </c>
      <c r="E5">
        <v>114</v>
      </c>
      <c r="F5">
        <v>402</v>
      </c>
      <c r="G5" s="7"/>
      <c r="H5" s="7"/>
      <c r="I5" s="7"/>
      <c r="J5" s="7"/>
      <c r="K5" s="7"/>
    </row>
    <row r="6" spans="1:11">
      <c r="A6">
        <v>1984</v>
      </c>
      <c r="C6">
        <v>995</v>
      </c>
      <c r="D6">
        <v>10967</v>
      </c>
      <c r="E6">
        <v>156</v>
      </c>
      <c r="F6">
        <v>359</v>
      </c>
      <c r="G6" s="7"/>
      <c r="H6" s="7"/>
      <c r="I6" s="7"/>
      <c r="J6" s="7"/>
      <c r="K6" s="7"/>
    </row>
    <row r="7" spans="1:11">
      <c r="A7">
        <v>1985</v>
      </c>
      <c r="B7">
        <v>1</v>
      </c>
      <c r="C7">
        <v>1222</v>
      </c>
      <c r="D7">
        <v>13323</v>
      </c>
      <c r="E7">
        <v>235</v>
      </c>
      <c r="F7">
        <v>323</v>
      </c>
      <c r="G7" s="7"/>
      <c r="H7" s="7"/>
      <c r="I7" s="7"/>
      <c r="J7" s="7"/>
      <c r="K7" s="7"/>
    </row>
    <row r="8" spans="1:11">
      <c r="A8">
        <v>1986</v>
      </c>
      <c r="B8">
        <v>93</v>
      </c>
      <c r="C8">
        <v>1402</v>
      </c>
      <c r="D8">
        <v>16125</v>
      </c>
      <c r="E8">
        <v>260</v>
      </c>
      <c r="F8">
        <v>274</v>
      </c>
      <c r="G8" s="7"/>
      <c r="H8" s="7"/>
      <c r="I8" s="7"/>
      <c r="J8" s="7"/>
      <c r="K8" s="7"/>
    </row>
    <row r="9" spans="1:11">
      <c r="A9">
        <v>1987</v>
      </c>
      <c r="B9">
        <v>102</v>
      </c>
      <c r="C9">
        <v>1740</v>
      </c>
      <c r="D9">
        <v>16502</v>
      </c>
      <c r="E9">
        <v>372</v>
      </c>
      <c r="F9">
        <v>305</v>
      </c>
      <c r="G9" s="7"/>
      <c r="H9" s="7"/>
      <c r="I9" s="7"/>
      <c r="J9" s="7"/>
      <c r="K9" s="7"/>
    </row>
    <row r="10" spans="1:11">
      <c r="A10">
        <v>1988</v>
      </c>
      <c r="B10">
        <v>68</v>
      </c>
      <c r="C10">
        <v>1631</v>
      </c>
      <c r="D10">
        <v>18497</v>
      </c>
      <c r="E10">
        <v>531</v>
      </c>
      <c r="F10">
        <v>262</v>
      </c>
      <c r="G10" s="7"/>
      <c r="H10" s="7"/>
      <c r="I10" s="7"/>
      <c r="J10" s="7"/>
      <c r="K10" s="7"/>
    </row>
    <row r="11" spans="1:11">
      <c r="A11">
        <v>1989</v>
      </c>
      <c r="B11">
        <v>58</v>
      </c>
      <c r="C11">
        <v>2137</v>
      </c>
      <c r="D11">
        <v>18613</v>
      </c>
      <c r="E11">
        <v>781</v>
      </c>
      <c r="F11">
        <v>289</v>
      </c>
      <c r="G11" s="7"/>
      <c r="H11" s="7"/>
      <c r="I11" s="7"/>
      <c r="J11" s="7"/>
      <c r="K11" s="7"/>
    </row>
    <row r="12" spans="1:11">
      <c r="A12">
        <v>1990</v>
      </c>
      <c r="B12">
        <v>56</v>
      </c>
      <c r="C12">
        <v>2195</v>
      </c>
      <c r="D12">
        <v>18575</v>
      </c>
      <c r="E12">
        <v>954</v>
      </c>
      <c r="F12">
        <v>355</v>
      </c>
      <c r="G12" s="7"/>
      <c r="H12" s="7"/>
      <c r="I12" s="7"/>
      <c r="J12" s="7"/>
      <c r="K12" s="7"/>
    </row>
    <row r="13" spans="1:11">
      <c r="A13">
        <v>1991</v>
      </c>
      <c r="B13">
        <v>59</v>
      </c>
      <c r="C13">
        <v>2713</v>
      </c>
      <c r="D13">
        <v>17672</v>
      </c>
      <c r="E13">
        <v>1075</v>
      </c>
      <c r="F13">
        <v>365</v>
      </c>
      <c r="G13" s="7"/>
      <c r="H13" s="7"/>
      <c r="I13" s="7"/>
      <c r="J13" s="7"/>
      <c r="K13" s="7"/>
    </row>
    <row r="14" spans="1:11">
      <c r="A14">
        <v>1992</v>
      </c>
      <c r="B14">
        <v>54</v>
      </c>
      <c r="C14">
        <v>2752</v>
      </c>
      <c r="D14">
        <v>23112</v>
      </c>
      <c r="E14">
        <v>1414</v>
      </c>
      <c r="F14">
        <v>441</v>
      </c>
      <c r="G14" s="7"/>
      <c r="H14" s="7"/>
      <c r="I14" s="7"/>
      <c r="J14" s="7"/>
      <c r="K14" s="7"/>
    </row>
    <row r="15" spans="1:11">
      <c r="A15">
        <v>1993</v>
      </c>
      <c r="B15">
        <v>48</v>
      </c>
      <c r="C15">
        <v>3022</v>
      </c>
      <c r="D15">
        <v>21132</v>
      </c>
      <c r="E15">
        <v>1467</v>
      </c>
      <c r="F15">
        <v>410</v>
      </c>
      <c r="G15" s="7"/>
      <c r="H15" s="7"/>
      <c r="I15" s="7"/>
      <c r="J15" s="7"/>
      <c r="K15" s="7"/>
    </row>
    <row r="16" spans="1:11">
      <c r="A16">
        <v>1994</v>
      </c>
      <c r="B16">
        <v>98</v>
      </c>
      <c r="C16">
        <v>3684</v>
      </c>
      <c r="D16">
        <v>18437</v>
      </c>
      <c r="E16">
        <v>1653</v>
      </c>
      <c r="F16">
        <v>381</v>
      </c>
      <c r="G16" s="7"/>
      <c r="H16" s="7"/>
      <c r="I16" s="7"/>
      <c r="J16" s="7"/>
      <c r="K16" s="7"/>
    </row>
    <row r="17" spans="1:11">
      <c r="A17">
        <v>1995</v>
      </c>
      <c r="B17">
        <v>169</v>
      </c>
      <c r="C17">
        <v>3790</v>
      </c>
      <c r="D17">
        <v>15407</v>
      </c>
      <c r="E17">
        <v>2119</v>
      </c>
      <c r="F17">
        <v>441</v>
      </c>
      <c r="G17" s="7"/>
      <c r="H17" s="7"/>
      <c r="I17" s="7"/>
      <c r="J17" s="7"/>
      <c r="K17" s="7"/>
    </row>
    <row r="18" spans="1:11">
      <c r="A18">
        <v>1996</v>
      </c>
      <c r="B18">
        <v>336</v>
      </c>
      <c r="C18">
        <v>3769</v>
      </c>
      <c r="D18">
        <v>14069</v>
      </c>
      <c r="E18">
        <v>2655</v>
      </c>
      <c r="F18">
        <v>424</v>
      </c>
      <c r="G18" s="7"/>
      <c r="H18" s="7"/>
      <c r="I18" s="7"/>
      <c r="J18" s="7"/>
      <c r="K18" s="7"/>
    </row>
    <row r="19" spans="1:11">
      <c r="A19">
        <v>1997</v>
      </c>
      <c r="B19">
        <v>522</v>
      </c>
      <c r="C19">
        <v>4229</v>
      </c>
      <c r="D19">
        <v>14211</v>
      </c>
      <c r="E19">
        <v>4303</v>
      </c>
      <c r="F19">
        <v>625</v>
      </c>
      <c r="G19" s="7"/>
      <c r="H19" s="7"/>
      <c r="I19" s="7"/>
      <c r="J19" s="7"/>
      <c r="K19" s="7"/>
    </row>
    <row r="20" spans="1:11">
      <c r="A20">
        <v>1998</v>
      </c>
      <c r="B20">
        <v>788</v>
      </c>
      <c r="C20">
        <v>5785</v>
      </c>
      <c r="D20">
        <v>15868</v>
      </c>
      <c r="E20">
        <v>5503</v>
      </c>
      <c r="F20">
        <v>740</v>
      </c>
      <c r="G20" s="7"/>
      <c r="H20" s="7"/>
      <c r="I20" s="7"/>
      <c r="J20" s="7"/>
      <c r="K20" s="7"/>
    </row>
    <row r="21" spans="1:11">
      <c r="A21">
        <v>1999</v>
      </c>
      <c r="B21">
        <v>953</v>
      </c>
      <c r="C21">
        <v>7228</v>
      </c>
      <c r="D21">
        <v>17301</v>
      </c>
      <c r="E21">
        <v>5473</v>
      </c>
      <c r="F21">
        <v>757</v>
      </c>
      <c r="G21" s="7"/>
      <c r="H21" s="7"/>
      <c r="I21" s="7"/>
      <c r="J21" s="7"/>
      <c r="K21" s="7"/>
    </row>
    <row r="22" spans="1:11">
      <c r="A22">
        <v>2000</v>
      </c>
      <c r="B22">
        <v>716</v>
      </c>
      <c r="C22">
        <v>8600</v>
      </c>
      <c r="D22">
        <v>17173</v>
      </c>
      <c r="E22">
        <v>8275</v>
      </c>
      <c r="F22">
        <v>659</v>
      </c>
      <c r="G22" s="7"/>
      <c r="H22" s="7"/>
      <c r="I22" s="7"/>
      <c r="J22" s="7"/>
      <c r="K22" s="7"/>
    </row>
    <row r="23" spans="1:11">
      <c r="A23">
        <v>2001</v>
      </c>
      <c r="B23">
        <v>906</v>
      </c>
      <c r="C23">
        <v>14095</v>
      </c>
      <c r="D23">
        <v>16353</v>
      </c>
      <c r="E23">
        <v>9773</v>
      </c>
      <c r="F23">
        <v>887</v>
      </c>
      <c r="G23" s="7"/>
      <c r="H23" s="7"/>
      <c r="I23" s="7"/>
      <c r="J23" s="7"/>
      <c r="K23" s="7"/>
    </row>
    <row r="24" spans="1:11">
      <c r="A24">
        <v>2002</v>
      </c>
      <c r="B24">
        <v>1458</v>
      </c>
      <c r="C24">
        <v>19126</v>
      </c>
      <c r="D24">
        <v>16791</v>
      </c>
      <c r="E24">
        <v>8190</v>
      </c>
      <c r="F24">
        <v>1105</v>
      </c>
      <c r="G24" s="7"/>
      <c r="H24" s="7"/>
      <c r="I24" s="7"/>
      <c r="J24" s="7"/>
      <c r="K24" s="7"/>
    </row>
    <row r="25" spans="1:11">
      <c r="A25">
        <v>2003</v>
      </c>
      <c r="B25">
        <v>2639</v>
      </c>
      <c r="C25">
        <v>16102</v>
      </c>
      <c r="D25">
        <v>17152</v>
      </c>
      <c r="E25">
        <v>8278</v>
      </c>
      <c r="F25">
        <v>1177</v>
      </c>
      <c r="G25" s="7"/>
      <c r="H25" s="7"/>
      <c r="I25" s="7"/>
      <c r="J25" s="7"/>
      <c r="K25" s="7"/>
    </row>
    <row r="26" spans="1:11">
      <c r="A26">
        <v>2004</v>
      </c>
      <c r="B26">
        <v>3777</v>
      </c>
      <c r="C26">
        <v>16251</v>
      </c>
      <c r="D26">
        <v>19408</v>
      </c>
      <c r="E26">
        <v>9464</v>
      </c>
      <c r="F26">
        <v>1211</v>
      </c>
      <c r="G26" s="7"/>
      <c r="H26" s="7"/>
      <c r="I26" s="7"/>
      <c r="J26" s="7"/>
      <c r="K26" s="7"/>
    </row>
    <row r="27" spans="1:11">
      <c r="A27">
        <v>2005</v>
      </c>
      <c r="B27">
        <v>5742</v>
      </c>
      <c r="C27">
        <v>17268</v>
      </c>
      <c r="D27">
        <v>18996</v>
      </c>
      <c r="E27">
        <v>10831</v>
      </c>
      <c r="F27">
        <v>1328</v>
      </c>
      <c r="G27" s="7"/>
      <c r="H27" s="7"/>
      <c r="I27" s="7"/>
      <c r="J27" s="7"/>
      <c r="K27" s="7"/>
    </row>
    <row r="28" spans="1:11">
      <c r="A28">
        <v>2006</v>
      </c>
      <c r="B28">
        <v>6219</v>
      </c>
      <c r="C28">
        <v>16781</v>
      </c>
      <c r="D28">
        <v>19935</v>
      </c>
      <c r="E28">
        <v>14237</v>
      </c>
      <c r="F28">
        <v>1154</v>
      </c>
      <c r="G28" s="7"/>
      <c r="H28" s="7"/>
      <c r="I28" s="7"/>
      <c r="J28" s="7"/>
      <c r="K28" s="7"/>
    </row>
    <row r="29" spans="1:11">
      <c r="A29">
        <v>2007</v>
      </c>
      <c r="B29">
        <v>7367</v>
      </c>
      <c r="C29">
        <v>17102</v>
      </c>
      <c r="D29">
        <v>20144</v>
      </c>
      <c r="E29">
        <v>14724</v>
      </c>
      <c r="F29">
        <v>1162</v>
      </c>
      <c r="G29" s="7"/>
      <c r="H29" s="7"/>
      <c r="I29" s="7"/>
      <c r="J29" s="7"/>
      <c r="K29" s="7"/>
    </row>
    <row r="30" spans="1:11">
      <c r="A30">
        <v>2008</v>
      </c>
      <c r="B30">
        <v>8486</v>
      </c>
      <c r="C30">
        <v>16802</v>
      </c>
      <c r="D30">
        <v>20003</v>
      </c>
      <c r="E30">
        <v>13729</v>
      </c>
      <c r="F30">
        <v>1266</v>
      </c>
      <c r="G30" s="7"/>
      <c r="H30" s="7"/>
      <c r="I30" s="7"/>
      <c r="J30" s="7"/>
      <c r="K30" s="7"/>
    </row>
    <row r="31" spans="1:11">
      <c r="A31">
        <v>2009</v>
      </c>
      <c r="B31">
        <v>8677</v>
      </c>
      <c r="C31">
        <v>16157</v>
      </c>
      <c r="D31">
        <v>19655</v>
      </c>
      <c r="E31">
        <v>12750</v>
      </c>
      <c r="F31">
        <v>1222</v>
      </c>
      <c r="G31" s="7"/>
      <c r="H31" s="7"/>
      <c r="I31" s="7"/>
      <c r="J31" s="7"/>
      <c r="K31" s="7"/>
    </row>
    <row r="32" spans="1:11">
      <c r="A32">
        <v>2010</v>
      </c>
      <c r="B32">
        <v>8965</v>
      </c>
      <c r="C32">
        <v>16500</v>
      </c>
      <c r="D32">
        <v>18891</v>
      </c>
      <c r="E32">
        <v>12454</v>
      </c>
      <c r="F32">
        <v>1101</v>
      </c>
      <c r="G32" s="7"/>
      <c r="H32" s="7"/>
      <c r="I32" s="7"/>
      <c r="J32" s="7"/>
      <c r="K32" s="7"/>
    </row>
    <row r="33" spans="1:11">
      <c r="A33">
        <v>2011</v>
      </c>
      <c r="B33">
        <v>11782</v>
      </c>
      <c r="C33">
        <v>16995</v>
      </c>
      <c r="D33">
        <v>17221</v>
      </c>
      <c r="E33">
        <v>12204</v>
      </c>
      <c r="F33">
        <v>1047</v>
      </c>
      <c r="G33" s="7"/>
      <c r="H33" s="7"/>
      <c r="I33" s="7"/>
      <c r="J33" s="7"/>
      <c r="K33" s="7"/>
    </row>
    <row r="34" spans="1:11">
      <c r="A34">
        <v>2012</v>
      </c>
      <c r="B34">
        <v>15271</v>
      </c>
      <c r="C34">
        <v>17693</v>
      </c>
      <c r="D34">
        <v>17345</v>
      </c>
      <c r="E34">
        <v>11259</v>
      </c>
      <c r="F34">
        <v>1192</v>
      </c>
      <c r="G34" s="7"/>
      <c r="H34" s="7"/>
      <c r="I34" s="7"/>
      <c r="J34" s="7"/>
      <c r="K34" s="7"/>
    </row>
    <row r="35" spans="1:11">
      <c r="A35">
        <v>2013</v>
      </c>
      <c r="B35">
        <v>15530</v>
      </c>
      <c r="C35">
        <v>17936</v>
      </c>
      <c r="D35">
        <v>17775</v>
      </c>
      <c r="E35">
        <v>11302</v>
      </c>
      <c r="F35">
        <v>1200</v>
      </c>
      <c r="G35" s="7"/>
      <c r="H35" s="7"/>
      <c r="I35" s="7"/>
      <c r="J35" s="7"/>
      <c r="K35" s="7"/>
    </row>
    <row r="36" spans="1:11">
      <c r="A36">
        <v>2014</v>
      </c>
      <c r="B36">
        <v>17544</v>
      </c>
      <c r="C36">
        <v>19613</v>
      </c>
      <c r="D36">
        <v>14412</v>
      </c>
      <c r="E36">
        <v>11549</v>
      </c>
      <c r="F36">
        <v>1290</v>
      </c>
      <c r="G36" s="7"/>
      <c r="H36" s="7"/>
      <c r="I36" s="7"/>
      <c r="J36" s="7"/>
      <c r="K36" s="7"/>
    </row>
    <row r="37" spans="1:11">
      <c r="A37">
        <v>2015</v>
      </c>
      <c r="B37">
        <v>17340</v>
      </c>
      <c r="C37">
        <v>20228</v>
      </c>
      <c r="D37">
        <v>12876</v>
      </c>
      <c r="E37">
        <v>10543</v>
      </c>
      <c r="F37">
        <v>1296</v>
      </c>
      <c r="G37" s="7"/>
      <c r="H37" s="7"/>
      <c r="I37" s="7"/>
      <c r="J37" s="7"/>
      <c r="K37" s="7"/>
    </row>
    <row r="38" spans="1:11">
      <c r="A38">
        <v>2016</v>
      </c>
      <c r="B38">
        <v>17551</v>
      </c>
      <c r="C38">
        <v>19699</v>
      </c>
      <c r="D38">
        <v>11158</v>
      </c>
      <c r="E38">
        <v>10566</v>
      </c>
      <c r="F38">
        <v>1262</v>
      </c>
      <c r="G38" s="7"/>
      <c r="H38" s="7"/>
      <c r="I38" s="7"/>
      <c r="J38" s="7"/>
      <c r="K38" s="7"/>
    </row>
    <row r="39" spans="1:11">
      <c r="A39">
        <v>2017</v>
      </c>
      <c r="B39">
        <v>18583</v>
      </c>
      <c r="C39">
        <v>19220</v>
      </c>
      <c r="D39">
        <v>11643</v>
      </c>
      <c r="E39">
        <v>8738</v>
      </c>
      <c r="F39">
        <v>1296</v>
      </c>
    </row>
    <row r="40" spans="1:11">
      <c r="A40">
        <v>2018</v>
      </c>
      <c r="B40">
        <v>23061</v>
      </c>
      <c r="C40">
        <v>18357</v>
      </c>
      <c r="D40">
        <v>9504</v>
      </c>
      <c r="E40">
        <v>8372</v>
      </c>
      <c r="F40">
        <v>1151</v>
      </c>
    </row>
    <row r="41" spans="1:11">
      <c r="A41">
        <v>2019</v>
      </c>
      <c r="B41">
        <v>26766</v>
      </c>
      <c r="C41">
        <v>19199</v>
      </c>
      <c r="D41">
        <v>9539</v>
      </c>
      <c r="E41">
        <v>9104</v>
      </c>
      <c r="F41">
        <v>1393</v>
      </c>
    </row>
    <row r="42" spans="1:11">
      <c r="A42">
        <v>2020</v>
      </c>
      <c r="B42">
        <v>28218</v>
      </c>
      <c r="C42">
        <v>21019</v>
      </c>
      <c r="D42">
        <v>9460</v>
      </c>
      <c r="E42">
        <v>8897</v>
      </c>
      <c r="F42">
        <v>1384</v>
      </c>
    </row>
    <row r="43" spans="1:11">
      <c r="A43">
        <v>2021</v>
      </c>
      <c r="B43">
        <v>30562</v>
      </c>
      <c r="C43">
        <v>20831</v>
      </c>
      <c r="D43">
        <v>10152</v>
      </c>
      <c r="E43">
        <v>9220</v>
      </c>
      <c r="F43">
        <v>1476</v>
      </c>
    </row>
    <row r="44" spans="1:11">
      <c r="A44">
        <v>2022</v>
      </c>
      <c r="B44">
        <v>35344</v>
      </c>
      <c r="C44">
        <v>22030</v>
      </c>
      <c r="D44">
        <v>9679</v>
      </c>
      <c r="E44">
        <v>9259</v>
      </c>
      <c r="F44">
        <v>1265</v>
      </c>
    </row>
    <row r="45" spans="1:11">
      <c r="A45">
        <v>2023</v>
      </c>
      <c r="B45">
        <v>30675</v>
      </c>
      <c r="C45">
        <v>19653</v>
      </c>
      <c r="D45">
        <v>8700</v>
      </c>
      <c r="E45">
        <v>8196</v>
      </c>
      <c r="F45">
        <v>1071</v>
      </c>
    </row>
    <row r="46" spans="1:11">
      <c r="A46">
        <v>2024</v>
      </c>
      <c r="B46">
        <v>33264</v>
      </c>
      <c r="C46">
        <v>20825</v>
      </c>
      <c r="D46">
        <v>8104</v>
      </c>
      <c r="E46">
        <v>8863</v>
      </c>
      <c r="F46">
        <v>1095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D714-7B23-E045-8E05-935E5114F8EA}">
  <sheetPr codeName="Sheet105"/>
  <dimension ref="A1:K46"/>
  <sheetViews>
    <sheetView workbookViewId="0">
      <selection activeCell="A2" sqref="A2"/>
    </sheetView>
  </sheetViews>
  <sheetFormatPr baseColWidth="10" defaultRowHeight="15"/>
  <cols>
    <col min="2" max="11" width="10.5" customWidth="1"/>
    <col min="12" max="46" width="5" customWidth="1"/>
  </cols>
  <sheetData>
    <row r="1" spans="1:11">
      <c r="A1" t="s">
        <v>0</v>
      </c>
      <c r="B1" t="s">
        <v>30</v>
      </c>
      <c r="C1" t="s">
        <v>445</v>
      </c>
      <c r="D1" t="s">
        <v>163</v>
      </c>
      <c r="E1" t="s">
        <v>61</v>
      </c>
      <c r="F1" t="s">
        <v>55</v>
      </c>
      <c r="G1" s="7"/>
      <c r="H1" s="7"/>
      <c r="I1" s="7"/>
      <c r="J1" s="7"/>
      <c r="K1" s="7"/>
    </row>
    <row r="2" spans="1:11">
      <c r="A2">
        <v>1980</v>
      </c>
      <c r="C2">
        <v>958</v>
      </c>
      <c r="D2">
        <v>6149</v>
      </c>
      <c r="E2">
        <v>3</v>
      </c>
      <c r="F2">
        <v>528</v>
      </c>
      <c r="G2" s="7"/>
      <c r="H2" s="7"/>
      <c r="I2" s="7"/>
      <c r="J2" s="7"/>
      <c r="K2" s="7"/>
    </row>
    <row r="3" spans="1:11">
      <c r="A3">
        <v>1981</v>
      </c>
      <c r="C3">
        <v>1004</v>
      </c>
      <c r="D3">
        <v>6788</v>
      </c>
      <c r="E3">
        <v>11</v>
      </c>
      <c r="F3">
        <v>376</v>
      </c>
      <c r="G3" s="7"/>
      <c r="H3" s="7"/>
      <c r="I3" s="7"/>
      <c r="J3" s="7"/>
      <c r="K3" s="7"/>
    </row>
    <row r="4" spans="1:11">
      <c r="A4">
        <v>1982</v>
      </c>
      <c r="C4">
        <v>1005</v>
      </c>
      <c r="D4">
        <v>8967</v>
      </c>
      <c r="E4">
        <v>9</v>
      </c>
      <c r="F4">
        <v>600</v>
      </c>
      <c r="G4" s="7"/>
      <c r="H4" s="7"/>
      <c r="I4" s="7"/>
      <c r="J4" s="7"/>
      <c r="K4" s="7"/>
    </row>
    <row r="5" spans="1:11">
      <c r="A5">
        <v>1983</v>
      </c>
      <c r="C5">
        <v>1087</v>
      </c>
      <c r="D5">
        <v>10415</v>
      </c>
      <c r="E5">
        <v>107</v>
      </c>
      <c r="F5">
        <v>492</v>
      </c>
      <c r="G5" s="7"/>
      <c r="H5" s="7"/>
      <c r="I5" s="7"/>
      <c r="J5" s="7"/>
      <c r="K5" s="7"/>
    </row>
    <row r="6" spans="1:11">
      <c r="A6">
        <v>1984</v>
      </c>
      <c r="C6">
        <v>1405</v>
      </c>
      <c r="D6">
        <v>11036</v>
      </c>
      <c r="E6">
        <v>193</v>
      </c>
      <c r="F6">
        <v>479</v>
      </c>
      <c r="G6" s="7"/>
      <c r="H6" s="7"/>
      <c r="I6" s="7"/>
      <c r="J6" s="7"/>
      <c r="K6" s="7"/>
    </row>
    <row r="7" spans="1:11">
      <c r="A7">
        <v>1985</v>
      </c>
      <c r="B7">
        <v>7</v>
      </c>
      <c r="C7">
        <v>1446</v>
      </c>
      <c r="D7">
        <v>12823</v>
      </c>
      <c r="E7">
        <v>274</v>
      </c>
      <c r="F7">
        <v>442</v>
      </c>
      <c r="G7" s="7"/>
      <c r="H7" s="7"/>
      <c r="I7" s="7"/>
      <c r="J7" s="7"/>
      <c r="K7" s="7"/>
    </row>
    <row r="8" spans="1:11">
      <c r="A8">
        <v>1986</v>
      </c>
      <c r="B8">
        <v>153</v>
      </c>
      <c r="C8">
        <v>1649</v>
      </c>
      <c r="D8">
        <v>15930</v>
      </c>
      <c r="E8">
        <v>311</v>
      </c>
      <c r="F8">
        <v>410</v>
      </c>
      <c r="G8" s="7"/>
      <c r="H8" s="7"/>
      <c r="I8" s="7"/>
      <c r="J8" s="7"/>
      <c r="K8" s="7"/>
    </row>
    <row r="9" spans="1:11">
      <c r="A9">
        <v>1987</v>
      </c>
      <c r="B9">
        <v>211</v>
      </c>
      <c r="C9">
        <v>2127</v>
      </c>
      <c r="D9">
        <v>19123</v>
      </c>
      <c r="E9">
        <v>407</v>
      </c>
      <c r="F9">
        <v>440</v>
      </c>
      <c r="G9" s="7"/>
      <c r="H9" s="7"/>
      <c r="I9" s="7"/>
      <c r="J9" s="7"/>
      <c r="K9" s="7"/>
    </row>
    <row r="10" spans="1:11">
      <c r="A10">
        <v>1988</v>
      </c>
      <c r="B10">
        <v>140</v>
      </c>
      <c r="C10">
        <v>2196</v>
      </c>
      <c r="D10">
        <v>21869</v>
      </c>
      <c r="E10">
        <v>617</v>
      </c>
      <c r="F10">
        <v>466</v>
      </c>
      <c r="G10" s="7"/>
      <c r="H10" s="7"/>
      <c r="I10" s="7"/>
      <c r="J10" s="7"/>
      <c r="K10" s="7"/>
    </row>
    <row r="11" spans="1:11">
      <c r="A11">
        <v>1989</v>
      </c>
      <c r="B11">
        <v>169</v>
      </c>
      <c r="C11">
        <v>3079</v>
      </c>
      <c r="D11">
        <v>22769</v>
      </c>
      <c r="E11">
        <v>772</v>
      </c>
      <c r="F11">
        <v>426</v>
      </c>
      <c r="G11" s="7"/>
      <c r="H11" s="7"/>
      <c r="I11" s="7"/>
      <c r="J11" s="7"/>
      <c r="K11" s="7"/>
    </row>
    <row r="12" spans="1:11">
      <c r="A12">
        <v>1990</v>
      </c>
      <c r="B12">
        <v>217</v>
      </c>
      <c r="C12">
        <v>2817</v>
      </c>
      <c r="D12">
        <v>23648</v>
      </c>
      <c r="E12">
        <v>836</v>
      </c>
      <c r="F12">
        <v>497</v>
      </c>
      <c r="G12" s="7"/>
      <c r="H12" s="7"/>
      <c r="I12" s="7"/>
      <c r="J12" s="7"/>
      <c r="K12" s="7"/>
    </row>
    <row r="13" spans="1:11">
      <c r="A13">
        <v>1991</v>
      </c>
      <c r="B13">
        <v>203</v>
      </c>
      <c r="C13">
        <v>3047</v>
      </c>
      <c r="D13">
        <v>22936</v>
      </c>
      <c r="E13">
        <v>1010</v>
      </c>
      <c r="F13">
        <v>503</v>
      </c>
      <c r="G13" s="7"/>
      <c r="H13" s="7"/>
      <c r="I13" s="7"/>
      <c r="J13" s="7"/>
      <c r="K13" s="7"/>
    </row>
    <row r="14" spans="1:11">
      <c r="A14">
        <v>1992</v>
      </c>
      <c r="B14">
        <v>216</v>
      </c>
      <c r="C14">
        <v>3385</v>
      </c>
      <c r="D14">
        <v>30949</v>
      </c>
      <c r="E14">
        <v>1150</v>
      </c>
      <c r="F14">
        <v>517</v>
      </c>
      <c r="G14" s="7"/>
      <c r="H14" s="7"/>
      <c r="I14" s="7"/>
      <c r="J14" s="7"/>
      <c r="K14" s="7"/>
    </row>
    <row r="15" spans="1:11">
      <c r="A15">
        <v>1993</v>
      </c>
      <c r="B15">
        <v>295</v>
      </c>
      <c r="C15">
        <v>4108</v>
      </c>
      <c r="D15">
        <v>27979</v>
      </c>
      <c r="E15">
        <v>1153</v>
      </c>
      <c r="F15">
        <v>559</v>
      </c>
      <c r="G15" s="7"/>
      <c r="H15" s="7"/>
      <c r="I15" s="7"/>
      <c r="J15" s="7"/>
      <c r="K15" s="7"/>
    </row>
    <row r="16" spans="1:11">
      <c r="A16">
        <v>1994</v>
      </c>
      <c r="B16">
        <v>360</v>
      </c>
      <c r="C16">
        <v>5072</v>
      </c>
      <c r="D16">
        <v>23699</v>
      </c>
      <c r="E16">
        <v>1115</v>
      </c>
      <c r="F16">
        <v>517</v>
      </c>
      <c r="G16" s="7"/>
      <c r="H16" s="7"/>
      <c r="I16" s="7"/>
      <c r="J16" s="7"/>
      <c r="K16" s="7"/>
    </row>
    <row r="17" spans="1:11">
      <c r="A17">
        <v>1995</v>
      </c>
      <c r="B17">
        <v>430</v>
      </c>
      <c r="C17">
        <v>5641</v>
      </c>
      <c r="D17">
        <v>21052</v>
      </c>
      <c r="E17">
        <v>1586</v>
      </c>
      <c r="F17">
        <v>495</v>
      </c>
      <c r="G17" s="7"/>
      <c r="H17" s="7"/>
      <c r="I17" s="7"/>
      <c r="J17" s="7"/>
      <c r="K17" s="7"/>
    </row>
    <row r="18" spans="1:11">
      <c r="A18">
        <v>1996</v>
      </c>
      <c r="B18">
        <v>908</v>
      </c>
      <c r="C18">
        <v>7138</v>
      </c>
      <c r="D18">
        <v>19601</v>
      </c>
      <c r="E18">
        <v>2115</v>
      </c>
      <c r="F18">
        <v>538</v>
      </c>
      <c r="G18" s="7"/>
      <c r="H18" s="7"/>
      <c r="I18" s="7"/>
      <c r="J18" s="7"/>
      <c r="K18" s="7"/>
    </row>
    <row r="19" spans="1:11">
      <c r="A19">
        <v>1997</v>
      </c>
      <c r="B19">
        <v>1258</v>
      </c>
      <c r="C19">
        <v>7610</v>
      </c>
      <c r="D19">
        <v>18680</v>
      </c>
      <c r="E19">
        <v>3150</v>
      </c>
      <c r="F19">
        <v>684</v>
      </c>
      <c r="G19" s="7"/>
      <c r="H19" s="7"/>
      <c r="I19" s="7"/>
      <c r="J19" s="7"/>
      <c r="K19" s="7"/>
    </row>
    <row r="20" spans="1:11">
      <c r="A20">
        <v>1998</v>
      </c>
      <c r="B20">
        <v>1481</v>
      </c>
      <c r="C20">
        <v>12079</v>
      </c>
      <c r="D20">
        <v>19827</v>
      </c>
      <c r="E20">
        <v>3517</v>
      </c>
      <c r="F20">
        <v>829</v>
      </c>
      <c r="G20" s="7"/>
      <c r="H20" s="7"/>
      <c r="I20" s="7"/>
      <c r="J20" s="7"/>
      <c r="K20" s="7"/>
    </row>
    <row r="21" spans="1:11">
      <c r="A21">
        <v>1999</v>
      </c>
      <c r="B21">
        <v>1667</v>
      </c>
      <c r="C21">
        <v>12382</v>
      </c>
      <c r="D21">
        <v>21121</v>
      </c>
      <c r="E21">
        <v>3544</v>
      </c>
      <c r="F21">
        <v>952</v>
      </c>
      <c r="G21" s="7"/>
      <c r="H21" s="7"/>
      <c r="I21" s="7"/>
      <c r="J21" s="7"/>
      <c r="K21" s="7"/>
    </row>
    <row r="22" spans="1:11">
      <c r="A22">
        <v>2000</v>
      </c>
      <c r="B22">
        <v>1862</v>
      </c>
      <c r="C22">
        <v>12172</v>
      </c>
      <c r="D22">
        <v>22023</v>
      </c>
      <c r="E22">
        <v>5369</v>
      </c>
      <c r="F22">
        <v>1012</v>
      </c>
      <c r="G22" s="7"/>
      <c r="H22" s="7"/>
      <c r="I22" s="7"/>
      <c r="J22" s="7"/>
      <c r="K22" s="7"/>
    </row>
    <row r="23" spans="1:11">
      <c r="A23">
        <v>2001</v>
      </c>
      <c r="B23">
        <v>2688</v>
      </c>
      <c r="C23">
        <v>17603</v>
      </c>
      <c r="D23">
        <v>22827</v>
      </c>
      <c r="E23">
        <v>7560</v>
      </c>
      <c r="F23">
        <v>1379</v>
      </c>
      <c r="G23" s="7"/>
      <c r="H23" s="7"/>
      <c r="I23" s="7"/>
      <c r="J23" s="7"/>
      <c r="K23" s="7"/>
    </row>
    <row r="24" spans="1:11">
      <c r="A24">
        <v>2002</v>
      </c>
      <c r="B24">
        <v>3362</v>
      </c>
      <c r="C24">
        <v>29950</v>
      </c>
      <c r="D24">
        <v>26328</v>
      </c>
      <c r="E24">
        <v>6508</v>
      </c>
      <c r="F24">
        <v>1565</v>
      </c>
      <c r="G24" s="7"/>
      <c r="H24" s="7"/>
      <c r="I24" s="7"/>
      <c r="J24" s="7"/>
      <c r="K24" s="7"/>
    </row>
    <row r="25" spans="1:11">
      <c r="A25">
        <v>2003</v>
      </c>
      <c r="B25">
        <v>4841</v>
      </c>
      <c r="C25">
        <v>32662</v>
      </c>
      <c r="D25">
        <v>23335</v>
      </c>
      <c r="E25">
        <v>6081</v>
      </c>
      <c r="F25">
        <v>1726</v>
      </c>
      <c r="G25" s="7"/>
      <c r="H25" s="7"/>
      <c r="I25" s="7"/>
      <c r="J25" s="7"/>
      <c r="K25" s="7"/>
    </row>
    <row r="26" spans="1:11">
      <c r="A26">
        <v>2004</v>
      </c>
      <c r="B26">
        <v>6779</v>
      </c>
      <c r="C26">
        <v>33954</v>
      </c>
      <c r="D26">
        <v>24818</v>
      </c>
      <c r="E26">
        <v>6888</v>
      </c>
      <c r="F26">
        <v>1508</v>
      </c>
      <c r="G26" s="7"/>
      <c r="H26" s="7"/>
      <c r="I26" s="7"/>
      <c r="J26" s="7"/>
      <c r="K26" s="7"/>
    </row>
    <row r="27" spans="1:11">
      <c r="A27">
        <v>2005</v>
      </c>
      <c r="B27">
        <v>10289</v>
      </c>
      <c r="C27">
        <v>37030</v>
      </c>
      <c r="D27">
        <v>24266</v>
      </c>
      <c r="E27">
        <v>7394</v>
      </c>
      <c r="F27">
        <v>1715</v>
      </c>
      <c r="G27" s="7"/>
      <c r="H27" s="7"/>
      <c r="I27" s="7"/>
      <c r="J27" s="7"/>
      <c r="K27" s="7"/>
    </row>
    <row r="28" spans="1:11">
      <c r="A28">
        <v>2006</v>
      </c>
      <c r="B28">
        <v>11198</v>
      </c>
      <c r="C28">
        <v>43039</v>
      </c>
      <c r="D28">
        <v>25296</v>
      </c>
      <c r="E28">
        <v>9654</v>
      </c>
      <c r="F28">
        <v>1727</v>
      </c>
      <c r="G28" s="7"/>
      <c r="H28" s="7"/>
      <c r="I28" s="7"/>
      <c r="J28" s="7"/>
      <c r="K28" s="7"/>
    </row>
    <row r="29" spans="1:11">
      <c r="A29">
        <v>2007</v>
      </c>
      <c r="B29">
        <v>13587</v>
      </c>
      <c r="C29">
        <v>44221</v>
      </c>
      <c r="D29">
        <v>24244</v>
      </c>
      <c r="E29">
        <v>9876</v>
      </c>
      <c r="F29">
        <v>1638</v>
      </c>
      <c r="G29" s="7"/>
      <c r="H29" s="7"/>
      <c r="I29" s="7"/>
      <c r="J29" s="7"/>
      <c r="K29" s="7"/>
    </row>
    <row r="30" spans="1:11">
      <c r="A30">
        <v>2008</v>
      </c>
      <c r="B30">
        <v>15507</v>
      </c>
      <c r="C30">
        <v>50858</v>
      </c>
      <c r="D30">
        <v>23300</v>
      </c>
      <c r="E30">
        <v>9902</v>
      </c>
      <c r="F30">
        <v>1379</v>
      </c>
      <c r="G30" s="7"/>
      <c r="H30" s="7"/>
      <c r="I30" s="7"/>
      <c r="J30" s="7"/>
      <c r="K30" s="7"/>
    </row>
    <row r="31" spans="1:11">
      <c r="A31">
        <v>2009</v>
      </c>
      <c r="B31">
        <v>17255</v>
      </c>
      <c r="C31">
        <v>51524</v>
      </c>
      <c r="D31">
        <v>22820</v>
      </c>
      <c r="E31">
        <v>8792</v>
      </c>
      <c r="F31">
        <v>1237</v>
      </c>
      <c r="G31" s="7"/>
      <c r="H31" s="7"/>
      <c r="I31" s="7"/>
      <c r="J31" s="7"/>
      <c r="K31" s="7"/>
    </row>
    <row r="32" spans="1:11">
      <c r="A32">
        <v>2010</v>
      </c>
      <c r="B32">
        <v>19101</v>
      </c>
      <c r="C32">
        <v>50058</v>
      </c>
      <c r="D32">
        <v>21177</v>
      </c>
      <c r="E32">
        <v>9047</v>
      </c>
      <c r="F32">
        <v>1033</v>
      </c>
      <c r="G32" s="7"/>
      <c r="H32" s="7"/>
      <c r="I32" s="7"/>
      <c r="J32" s="7"/>
      <c r="K32" s="7"/>
    </row>
    <row r="33" spans="1:11">
      <c r="A33">
        <v>2011</v>
      </c>
      <c r="B33">
        <v>23510</v>
      </c>
      <c r="C33">
        <v>48710</v>
      </c>
      <c r="D33">
        <v>19425</v>
      </c>
      <c r="E33">
        <v>9890</v>
      </c>
      <c r="F33">
        <v>987</v>
      </c>
      <c r="G33" s="7"/>
      <c r="H33" s="7"/>
      <c r="I33" s="7"/>
      <c r="J33" s="7"/>
      <c r="K33" s="7"/>
    </row>
    <row r="34" spans="1:11">
      <c r="A34">
        <v>2012</v>
      </c>
      <c r="B34">
        <v>31804</v>
      </c>
      <c r="C34">
        <v>53667</v>
      </c>
      <c r="D34">
        <v>19366</v>
      </c>
      <c r="E34">
        <v>10432</v>
      </c>
      <c r="F34">
        <v>1060</v>
      </c>
      <c r="G34" s="7"/>
      <c r="H34" s="7"/>
      <c r="I34" s="7"/>
      <c r="J34" s="7"/>
      <c r="K34" s="7"/>
    </row>
    <row r="35" spans="1:11">
      <c r="A35">
        <v>2013</v>
      </c>
      <c r="B35">
        <v>41498</v>
      </c>
      <c r="C35">
        <v>55060</v>
      </c>
      <c r="D35">
        <v>20273</v>
      </c>
      <c r="E35">
        <v>10976</v>
      </c>
      <c r="F35">
        <v>1378</v>
      </c>
      <c r="G35" s="7"/>
      <c r="H35" s="7"/>
      <c r="I35" s="7"/>
      <c r="J35" s="7"/>
      <c r="K35" s="7"/>
    </row>
    <row r="36" spans="1:11">
      <c r="A36">
        <v>2014</v>
      </c>
      <c r="B36">
        <v>51958</v>
      </c>
      <c r="C36">
        <v>59802</v>
      </c>
      <c r="D36">
        <v>18851</v>
      </c>
      <c r="E36">
        <v>13615</v>
      </c>
      <c r="F36">
        <v>1475</v>
      </c>
      <c r="G36" s="7"/>
      <c r="H36" s="7"/>
      <c r="I36" s="7"/>
      <c r="J36" s="7"/>
      <c r="K36" s="7"/>
    </row>
    <row r="37" spans="1:11">
      <c r="A37">
        <v>2015</v>
      </c>
      <c r="B37">
        <v>61236</v>
      </c>
      <c r="C37">
        <v>56056</v>
      </c>
      <c r="D37">
        <v>18205</v>
      </c>
      <c r="E37">
        <v>14311</v>
      </c>
      <c r="F37">
        <v>1458</v>
      </c>
      <c r="G37" s="7"/>
      <c r="H37" s="7"/>
      <c r="I37" s="7"/>
      <c r="J37" s="7"/>
      <c r="K37" s="7"/>
    </row>
    <row r="38" spans="1:11">
      <c r="A38">
        <v>2016</v>
      </c>
      <c r="B38">
        <v>69309</v>
      </c>
      <c r="C38">
        <v>55233</v>
      </c>
      <c r="D38">
        <v>16934</v>
      </c>
      <c r="E38">
        <v>12406</v>
      </c>
      <c r="F38">
        <v>1422</v>
      </c>
      <c r="G38" s="7"/>
      <c r="H38" s="7"/>
      <c r="I38" s="7"/>
      <c r="J38" s="7"/>
      <c r="K38" s="7"/>
    </row>
    <row r="39" spans="1:11">
      <c r="A39">
        <v>2017</v>
      </c>
      <c r="B39">
        <v>96098</v>
      </c>
      <c r="C39">
        <v>54596</v>
      </c>
      <c r="D39">
        <v>18259</v>
      </c>
      <c r="E39">
        <v>11837</v>
      </c>
      <c r="F39">
        <v>1573</v>
      </c>
    </row>
    <row r="40" spans="1:11">
      <c r="A40">
        <v>2018</v>
      </c>
      <c r="B40">
        <v>109959</v>
      </c>
      <c r="C40">
        <v>53808</v>
      </c>
      <c r="D40">
        <v>15293</v>
      </c>
      <c r="E40">
        <v>11291</v>
      </c>
      <c r="F40">
        <v>1762</v>
      </c>
    </row>
    <row r="41" spans="1:11">
      <c r="A41">
        <v>2019</v>
      </c>
      <c r="B41">
        <v>151640</v>
      </c>
      <c r="C41">
        <v>59147</v>
      </c>
      <c r="D41">
        <v>16459</v>
      </c>
      <c r="E41">
        <v>11821</v>
      </c>
      <c r="F41">
        <v>1975</v>
      </c>
    </row>
    <row r="42" spans="1:11">
      <c r="A42">
        <v>2020</v>
      </c>
      <c r="B42">
        <v>179898</v>
      </c>
      <c r="C42">
        <v>64557</v>
      </c>
      <c r="D42">
        <v>16216</v>
      </c>
      <c r="E42">
        <v>12919</v>
      </c>
      <c r="F42">
        <v>2036</v>
      </c>
    </row>
    <row r="43" spans="1:11">
      <c r="A43">
        <v>2021</v>
      </c>
      <c r="B43">
        <v>221613</v>
      </c>
      <c r="C43">
        <v>66644</v>
      </c>
      <c r="D43">
        <v>17839</v>
      </c>
      <c r="E43">
        <v>15624</v>
      </c>
      <c r="F43">
        <v>2377</v>
      </c>
    </row>
    <row r="44" spans="1:11">
      <c r="A44">
        <v>2022</v>
      </c>
      <c r="B44">
        <v>254147</v>
      </c>
      <c r="C44">
        <v>67066</v>
      </c>
      <c r="D44">
        <v>17474</v>
      </c>
      <c r="E44">
        <v>17819</v>
      </c>
      <c r="F44">
        <v>2457</v>
      </c>
    </row>
    <row r="45" spans="1:11">
      <c r="A45">
        <v>2023</v>
      </c>
      <c r="B45">
        <v>284536</v>
      </c>
      <c r="C45">
        <v>67822</v>
      </c>
      <c r="D45">
        <v>15986</v>
      </c>
      <c r="E45">
        <v>18902</v>
      </c>
      <c r="F45">
        <v>2394</v>
      </c>
    </row>
    <row r="46" spans="1:11">
      <c r="A46">
        <v>2024</v>
      </c>
      <c r="B46">
        <v>315101</v>
      </c>
      <c r="C46">
        <v>67975</v>
      </c>
      <c r="D46">
        <v>14355</v>
      </c>
      <c r="E46">
        <v>18811</v>
      </c>
      <c r="F46">
        <v>2318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2"/>
  <dimension ref="A1:F19"/>
  <sheetViews>
    <sheetView workbookViewId="0">
      <selection activeCell="G18" sqref="G18"/>
    </sheetView>
  </sheetViews>
  <sheetFormatPr baseColWidth="10" defaultColWidth="8.83203125" defaultRowHeight="15"/>
  <cols>
    <col min="2" max="6" width="22.83203125" style="73" customWidth="1"/>
  </cols>
  <sheetData>
    <row r="1" spans="1:6">
      <c r="A1" t="s">
        <v>558</v>
      </c>
      <c r="B1" s="73" t="s">
        <v>559</v>
      </c>
      <c r="C1" s="73" t="s">
        <v>30</v>
      </c>
      <c r="D1" s="73" t="s">
        <v>17</v>
      </c>
      <c r="E1" s="73" t="s">
        <v>163</v>
      </c>
      <c r="F1" s="73" t="s">
        <v>55</v>
      </c>
    </row>
    <row r="2" spans="1:6">
      <c r="A2">
        <v>2004</v>
      </c>
      <c r="B2" s="24">
        <v>1834571056659.49</v>
      </c>
      <c r="C2" s="24">
        <v>625223497459.948</v>
      </c>
      <c r="D2" s="24">
        <v>1609515155000</v>
      </c>
      <c r="E2" s="24">
        <v>1033455029438.13</v>
      </c>
      <c r="F2" s="24">
        <v>564462968837.06702</v>
      </c>
    </row>
    <row r="3" spans="1:6">
      <c r="A3">
        <v>2005</v>
      </c>
      <c r="B3" s="24">
        <v>1881931367980.3501</v>
      </c>
      <c r="C3" s="24">
        <v>733654641625.40906</v>
      </c>
      <c r="D3" s="24">
        <v>1692920894000</v>
      </c>
      <c r="E3" s="24">
        <v>1035063174684.4</v>
      </c>
      <c r="F3" s="24">
        <v>572005337251.36206</v>
      </c>
    </row>
    <row r="4" spans="1:6">
      <c r="A4">
        <v>2006</v>
      </c>
      <c r="B4" s="24">
        <v>2003636110072.03</v>
      </c>
      <c r="C4" s="24">
        <v>893126575136.09595</v>
      </c>
      <c r="D4" s="24">
        <v>1794744585000</v>
      </c>
      <c r="E4" s="24">
        <v>984723037885.86902</v>
      </c>
      <c r="F4" s="24">
        <v>619584028662.35205</v>
      </c>
    </row>
    <row r="5" spans="1:6">
      <c r="A5">
        <v>2007</v>
      </c>
      <c r="B5" s="24">
        <v>2327811337341.73</v>
      </c>
      <c r="C5" s="24">
        <v>1149715189236.1399</v>
      </c>
      <c r="D5" s="24">
        <v>1848323547000</v>
      </c>
      <c r="E5" s="24">
        <v>1001843681928.77</v>
      </c>
      <c r="F5" s="24">
        <v>715273045837.25696</v>
      </c>
    </row>
    <row r="6" spans="1:6">
      <c r="A6">
        <v>2008</v>
      </c>
      <c r="B6" s="24">
        <v>2482202629143.1201</v>
      </c>
      <c r="C6" s="24">
        <v>1475673942655.0901</v>
      </c>
      <c r="D6" s="24">
        <v>1804393692000</v>
      </c>
      <c r="E6" s="24">
        <v>1086396509271.04</v>
      </c>
      <c r="F6" s="24">
        <v>752442910078.90601</v>
      </c>
    </row>
    <row r="7" spans="1:6">
      <c r="A7">
        <v>2009</v>
      </c>
      <c r="B7" s="24">
        <v>2041500646527.1201</v>
      </c>
      <c r="C7" s="24">
        <v>1611942474298.1499</v>
      </c>
      <c r="D7" s="24">
        <v>1693758354000</v>
      </c>
      <c r="E7" s="24">
        <v>1007525908383.13</v>
      </c>
      <c r="F7" s="24">
        <v>603141578344.14001</v>
      </c>
    </row>
    <row r="8" spans="1:6">
      <c r="A8">
        <v>2010</v>
      </c>
      <c r="B8" s="24">
        <v>2106608373162.1699</v>
      </c>
      <c r="C8" s="24">
        <v>1924333072319.5801</v>
      </c>
      <c r="D8" s="24">
        <v>1791742513000</v>
      </c>
      <c r="E8" s="24">
        <v>1195940413448.98</v>
      </c>
      <c r="F8" s="24">
        <v>673576752583.33496</v>
      </c>
    </row>
    <row r="9" spans="1:6">
      <c r="A9">
        <v>2011</v>
      </c>
      <c r="B9" s="24">
        <v>2334293457757.7798</v>
      </c>
      <c r="C9" s="24">
        <v>2421387361155.6299</v>
      </c>
      <c r="D9" s="24">
        <v>1863738024000</v>
      </c>
      <c r="E9" s="24">
        <v>1217679850774.28</v>
      </c>
      <c r="F9" s="24">
        <v>769414401692.60901</v>
      </c>
    </row>
    <row r="10" spans="1:6">
      <c r="A10">
        <v>2012</v>
      </c>
      <c r="B10" s="24">
        <v>2135763061814.1399</v>
      </c>
      <c r="C10" s="24">
        <v>2690076711732.4102</v>
      </c>
      <c r="D10" s="24">
        <v>1927324612000</v>
      </c>
      <c r="E10" s="24">
        <v>1233567341928.23</v>
      </c>
      <c r="F10" s="24">
        <v>720997706882.81299</v>
      </c>
    </row>
    <row r="11" spans="1:6">
      <c r="A11">
        <v>2013</v>
      </c>
      <c r="B11" s="24">
        <v>2210249257155.23</v>
      </c>
      <c r="C11" s="24">
        <v>2935359967255.02</v>
      </c>
      <c r="D11" s="24">
        <v>1987179289000</v>
      </c>
      <c r="E11" s="24">
        <v>1007492564067.5699</v>
      </c>
      <c r="F11" s="24">
        <v>752269963536.47302</v>
      </c>
    </row>
    <row r="12" spans="1:6">
      <c r="A12">
        <v>2014</v>
      </c>
      <c r="B12" s="24">
        <v>2301914815494.9399</v>
      </c>
      <c r="C12" s="24">
        <v>3184217491389.9902</v>
      </c>
      <c r="D12" s="24">
        <v>2045615226000</v>
      </c>
      <c r="E12" s="24">
        <v>959497947967.37598</v>
      </c>
      <c r="F12" s="24">
        <v>797344914732.54602</v>
      </c>
    </row>
    <row r="13" spans="1:6">
      <c r="A13">
        <v>2015</v>
      </c>
      <c r="B13" s="24">
        <v>2074881742625.1799</v>
      </c>
      <c r="C13" s="24">
        <v>3202510065357</v>
      </c>
      <c r="D13" s="24">
        <v>2123243202000</v>
      </c>
      <c r="E13" s="24">
        <v>909542617885.20996</v>
      </c>
      <c r="F13" s="24">
        <v>689745331150.39001</v>
      </c>
    </row>
    <row r="14" spans="1:6">
      <c r="A14">
        <v>2016</v>
      </c>
      <c r="B14" s="24">
        <v>2134611700263.45</v>
      </c>
      <c r="C14" s="24">
        <v>3153128508921.2402</v>
      </c>
      <c r="D14" s="24">
        <v>2098271549000</v>
      </c>
      <c r="E14" s="24">
        <v>1015148046907.99</v>
      </c>
      <c r="F14" s="24">
        <v>721965379415.95496</v>
      </c>
    </row>
    <row r="15" spans="1:6">
      <c r="A15">
        <v>2017</v>
      </c>
      <c r="B15" s="24">
        <v>2258565632404.3901</v>
      </c>
      <c r="C15" s="24">
        <v>3460348237641.3999</v>
      </c>
      <c r="D15" s="24">
        <v>2192925367000</v>
      </c>
      <c r="E15" s="24">
        <v>1007663265490.27</v>
      </c>
      <c r="F15" s="24">
        <v>756559910375.29504</v>
      </c>
    </row>
    <row r="16" spans="1:6">
      <c r="A16">
        <v>2018</v>
      </c>
      <c r="B16" s="24">
        <v>2426901650006.9102</v>
      </c>
      <c r="C16" s="24">
        <v>3868482846608.5898</v>
      </c>
      <c r="D16" s="24">
        <v>2330106524000</v>
      </c>
      <c r="E16" s="24">
        <v>1039514535670.66</v>
      </c>
      <c r="F16" s="24">
        <v>803196685980.39197</v>
      </c>
    </row>
    <row r="17" spans="1:6">
      <c r="A17">
        <v>2019</v>
      </c>
      <c r="B17" s="24">
        <v>2350690820307.1699</v>
      </c>
      <c r="C17" s="24">
        <v>3823422172446.96</v>
      </c>
      <c r="D17" s="24">
        <v>2364316202000</v>
      </c>
      <c r="E17" s="24">
        <v>1035072432041.15</v>
      </c>
      <c r="F17" s="24">
        <v>764634674431.37097</v>
      </c>
    </row>
    <row r="18" spans="1:6">
      <c r="A18">
        <v>2020</v>
      </c>
      <c r="B18" s="24">
        <v>2253672867155.6001</v>
      </c>
      <c r="C18" s="24">
        <v>3860697899030.6401</v>
      </c>
      <c r="D18" s="24">
        <v>2238531370000</v>
      </c>
      <c r="E18" s="24">
        <v>1013420026631.8199</v>
      </c>
      <c r="F18" s="24">
        <v>730242522726.84998</v>
      </c>
    </row>
    <row r="19" spans="1:6">
      <c r="A19">
        <v>2021</v>
      </c>
      <c r="B19" s="24">
        <v>2573877512538.04</v>
      </c>
      <c r="C19" s="24">
        <v>4909020290402.7402</v>
      </c>
      <c r="D19" s="24">
        <v>2497131582000</v>
      </c>
      <c r="E19" s="24">
        <v>1047115010868.72</v>
      </c>
      <c r="F19" s="24">
        <v>808884377244.17297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11AE-FDC2-6440-8B5B-9C2CF718E694}">
  <sheetPr codeName="Sheet112"/>
  <dimension ref="A1:I35"/>
  <sheetViews>
    <sheetView workbookViewId="0">
      <selection activeCell="H43" sqref="H43"/>
    </sheetView>
  </sheetViews>
  <sheetFormatPr baseColWidth="10" defaultRowHeight="15"/>
  <cols>
    <col min="1" max="1" width="7.6640625" customWidth="1"/>
    <col min="2" max="9" width="13.83203125" customWidth="1"/>
    <col min="10" max="44" width="14.83203125" customWidth="1"/>
  </cols>
  <sheetData>
    <row r="1" spans="1:9" ht="16">
      <c r="A1" s="51"/>
      <c r="B1" s="39" t="s">
        <v>58</v>
      </c>
      <c r="C1" s="39" t="s">
        <v>55</v>
      </c>
      <c r="D1" s="39" t="s">
        <v>163</v>
      </c>
      <c r="E1" s="39" t="s">
        <v>498</v>
      </c>
      <c r="F1" s="39" t="s">
        <v>56</v>
      </c>
      <c r="G1" s="39" t="s">
        <v>17</v>
      </c>
      <c r="H1" s="39" t="s">
        <v>493</v>
      </c>
      <c r="I1" s="39" t="s">
        <v>30</v>
      </c>
    </row>
    <row r="2" spans="1:9">
      <c r="A2" s="52">
        <v>1991</v>
      </c>
      <c r="B2" s="40">
        <v>24440.020390000001</v>
      </c>
      <c r="C2" s="41">
        <v>40066.918769999997</v>
      </c>
      <c r="D2" s="43">
        <v>69205.319380000001</v>
      </c>
      <c r="E2" s="44">
        <v>7034.9383040000002</v>
      </c>
      <c r="F2" s="40">
        <v>18689.667010000001</v>
      </c>
      <c r="G2" s="44">
        <v>161391</v>
      </c>
      <c r="H2" s="43">
        <v>112321.7331</v>
      </c>
      <c r="I2" s="49">
        <v>9187.2031640000005</v>
      </c>
    </row>
    <row r="3" spans="1:9">
      <c r="A3" s="52">
        <v>1992</v>
      </c>
      <c r="B3" s="40">
        <v>25459.421050000001</v>
      </c>
      <c r="C3" s="43">
        <v>39779.702440000001</v>
      </c>
      <c r="D3" s="43">
        <v>70030.765899999999</v>
      </c>
      <c r="E3" s="44">
        <v>8009.43851</v>
      </c>
      <c r="F3" s="41">
        <v>18858.015520000001</v>
      </c>
      <c r="G3" s="44">
        <v>165838</v>
      </c>
      <c r="H3" s="43">
        <v>114170.7684</v>
      </c>
      <c r="I3" s="49">
        <v>10785.01001</v>
      </c>
    </row>
    <row r="4" spans="1:9">
      <c r="A4" s="52">
        <v>1993</v>
      </c>
      <c r="B4" s="40">
        <v>26304.292229999999</v>
      </c>
      <c r="C4" s="44">
        <v>39134.954440000001</v>
      </c>
      <c r="D4" s="43">
        <v>69864.266489999995</v>
      </c>
      <c r="E4" s="44">
        <v>9516.9612130000005</v>
      </c>
      <c r="F4" s="40">
        <v>20042.375100000001</v>
      </c>
      <c r="G4" s="44">
        <v>166153</v>
      </c>
      <c r="H4" s="43">
        <v>114512.87270000001</v>
      </c>
      <c r="I4" s="49">
        <v>12004.335440000001</v>
      </c>
    </row>
    <row r="5" spans="1:9">
      <c r="A5" s="52">
        <v>1994</v>
      </c>
      <c r="B5" s="40">
        <v>26902.058969999998</v>
      </c>
      <c r="C5" s="44">
        <v>39448.639340000002</v>
      </c>
      <c r="D5" s="43">
        <v>70608.356870000003</v>
      </c>
      <c r="E5" s="44">
        <v>11530.93821</v>
      </c>
      <c r="F5" s="40">
        <v>20946.713919999998</v>
      </c>
      <c r="G5" s="44">
        <v>169621</v>
      </c>
      <c r="H5" s="43">
        <v>116580.89049999999</v>
      </c>
      <c r="I5" s="49">
        <v>12549.931930000001</v>
      </c>
    </row>
    <row r="6" spans="1:9">
      <c r="A6" s="52">
        <v>1995</v>
      </c>
      <c r="B6" s="40">
        <v>27706.689839999999</v>
      </c>
      <c r="C6" s="40">
        <v>41068.903420000002</v>
      </c>
      <c r="D6" s="43">
        <v>76727.6875</v>
      </c>
      <c r="E6" s="44">
        <v>13153.927890000001</v>
      </c>
      <c r="F6" s="40">
        <v>19671.750359999998</v>
      </c>
      <c r="G6" s="44">
        <v>184086</v>
      </c>
      <c r="H6" s="43">
        <v>120845.82859999999</v>
      </c>
      <c r="I6" s="49">
        <v>12838.010979999999</v>
      </c>
    </row>
    <row r="7" spans="1:9">
      <c r="A7" s="52">
        <v>1996</v>
      </c>
      <c r="B7" s="40">
        <v>28358.608250000001</v>
      </c>
      <c r="C7" s="43">
        <v>42285.300380000001</v>
      </c>
      <c r="D7" s="41">
        <v>83096.602910000001</v>
      </c>
      <c r="E7" s="44">
        <v>14824.882180000001</v>
      </c>
      <c r="F7" s="40">
        <v>20103.505570000001</v>
      </c>
      <c r="G7" s="44">
        <v>197802</v>
      </c>
      <c r="H7" s="43">
        <v>125943.5131</v>
      </c>
      <c r="I7" s="49">
        <v>14238.39107</v>
      </c>
    </row>
    <row r="8" spans="1:9">
      <c r="A8" s="52">
        <v>1997</v>
      </c>
      <c r="B8" s="41">
        <v>28632.159370000001</v>
      </c>
      <c r="C8" s="40">
        <v>44104.344779999999</v>
      </c>
      <c r="D8" s="40">
        <v>87901.830220000003</v>
      </c>
      <c r="E8" s="44">
        <v>16243.2369</v>
      </c>
      <c r="F8" s="40">
        <v>20677.94959</v>
      </c>
      <c r="G8" s="44">
        <v>212478</v>
      </c>
      <c r="H8" s="43">
        <v>132507.72010000001</v>
      </c>
      <c r="I8" s="49">
        <v>17935.1819</v>
      </c>
    </row>
    <row r="9" spans="1:9">
      <c r="A9" s="52">
        <v>1998</v>
      </c>
      <c r="B9" s="40">
        <v>29450.367770000001</v>
      </c>
      <c r="C9" s="43">
        <v>46083.90784</v>
      </c>
      <c r="D9" s="40">
        <v>91169.792300000001</v>
      </c>
      <c r="E9" s="44">
        <v>14626.702569999999</v>
      </c>
      <c r="F9" s="40">
        <v>21443.182529999998</v>
      </c>
      <c r="G9" s="47">
        <v>226227</v>
      </c>
      <c r="H9" s="43">
        <v>139600.6422</v>
      </c>
      <c r="I9" s="49">
        <v>19795.00345</v>
      </c>
    </row>
    <row r="10" spans="1:9">
      <c r="A10" s="52">
        <v>1999</v>
      </c>
      <c r="B10" s="40">
        <v>30993.7523</v>
      </c>
      <c r="C10" s="40">
        <v>50677.469899999996</v>
      </c>
      <c r="D10" s="40">
        <v>92773.730039999995</v>
      </c>
      <c r="E10" s="44">
        <v>15792.638790000001</v>
      </c>
      <c r="F10" s="40">
        <v>23323.50229</v>
      </c>
      <c r="G10" s="44">
        <v>244980</v>
      </c>
      <c r="H10" s="43">
        <v>150108.3462</v>
      </c>
      <c r="I10" s="49">
        <v>25034.989249999999</v>
      </c>
    </row>
    <row r="11" spans="1:9">
      <c r="A11" s="52">
        <v>2000</v>
      </c>
      <c r="B11" s="41">
        <v>33274.461620000002</v>
      </c>
      <c r="C11" s="40">
        <v>53892.12932</v>
      </c>
      <c r="D11" s="40">
        <v>98935.199200000003</v>
      </c>
      <c r="E11" s="44">
        <v>18520.555769999999</v>
      </c>
      <c r="F11" s="40">
        <v>25148.94961</v>
      </c>
      <c r="G11" s="44">
        <v>268558</v>
      </c>
      <c r="H11" s="43">
        <v>162788.14439999999</v>
      </c>
      <c r="I11" s="41">
        <v>33081.883710000002</v>
      </c>
    </row>
    <row r="12" spans="1:9">
      <c r="A12" s="52">
        <v>2001</v>
      </c>
      <c r="B12" s="40">
        <v>36073.411229999998</v>
      </c>
      <c r="C12" s="40">
        <v>56186.263500000001</v>
      </c>
      <c r="D12" s="40">
        <v>103866.7865</v>
      </c>
      <c r="E12" s="44">
        <v>21290.52391</v>
      </c>
      <c r="F12" s="40">
        <v>26330.603419999999</v>
      </c>
      <c r="G12" s="44">
        <v>279061</v>
      </c>
      <c r="H12" s="43">
        <v>173209.394</v>
      </c>
      <c r="I12" s="40">
        <v>38519.51038</v>
      </c>
    </row>
    <row r="13" spans="1:9">
      <c r="A13" s="52">
        <v>2002</v>
      </c>
      <c r="B13" s="40">
        <v>38334.727740000002</v>
      </c>
      <c r="C13" s="40">
        <v>58637.425309999999</v>
      </c>
      <c r="D13" s="40">
        <v>108166.22530000001</v>
      </c>
      <c r="E13" s="44">
        <v>22506.775679999999</v>
      </c>
      <c r="F13" s="40">
        <v>27871.362590000001</v>
      </c>
      <c r="G13" s="44">
        <v>278414</v>
      </c>
      <c r="H13" s="43">
        <v>182025.6029</v>
      </c>
      <c r="I13" s="40">
        <v>48007.461620000002</v>
      </c>
    </row>
    <row r="14" spans="1:9">
      <c r="A14" s="52">
        <v>2003</v>
      </c>
      <c r="B14" s="40">
        <v>37177.384270000002</v>
      </c>
      <c r="C14" s="40">
        <v>61087.847809999999</v>
      </c>
      <c r="D14" s="40">
        <v>112362.1308</v>
      </c>
      <c r="E14" s="44">
        <v>24098.107520000001</v>
      </c>
      <c r="F14" s="40">
        <v>28595.816129999999</v>
      </c>
      <c r="G14" s="47">
        <v>292157</v>
      </c>
      <c r="H14" s="43">
        <v>185943.95199999999</v>
      </c>
      <c r="I14" s="40">
        <v>57030.470379999999</v>
      </c>
    </row>
    <row r="15" spans="1:9">
      <c r="A15" s="52">
        <v>2004</v>
      </c>
      <c r="B15" s="41">
        <v>38169.818059999998</v>
      </c>
      <c r="C15" s="40">
        <v>62964.839059999998</v>
      </c>
      <c r="D15" s="40">
        <v>117429.96</v>
      </c>
      <c r="E15" s="44">
        <v>27916.221020000001</v>
      </c>
      <c r="F15" s="40">
        <v>29438.09146</v>
      </c>
      <c r="G15" s="44">
        <v>303824</v>
      </c>
      <c r="H15" s="43">
        <v>192998.29870000001</v>
      </c>
      <c r="I15" s="40">
        <v>69908.071450000003</v>
      </c>
    </row>
    <row r="16" spans="1:9">
      <c r="A16" s="52">
        <v>2005</v>
      </c>
      <c r="B16" s="40">
        <v>39530.063309999998</v>
      </c>
      <c r="C16" s="40">
        <v>64028.331400000003</v>
      </c>
      <c r="D16" s="40">
        <v>128694.56140000001</v>
      </c>
      <c r="E16" s="44">
        <v>30618.325649999999</v>
      </c>
      <c r="F16" s="40">
        <v>30639.651440000001</v>
      </c>
      <c r="G16" s="44">
        <v>326231</v>
      </c>
      <c r="H16" s="43">
        <v>200716.27290000001</v>
      </c>
      <c r="I16" s="40">
        <v>86587.954729999998</v>
      </c>
    </row>
    <row r="17" spans="1:9">
      <c r="A17" s="52">
        <v>2006</v>
      </c>
      <c r="B17" s="40">
        <v>42365.842660000002</v>
      </c>
      <c r="C17" s="40">
        <v>69570.690430000002</v>
      </c>
      <c r="D17" s="40">
        <v>138799.59049999999</v>
      </c>
      <c r="E17" s="44">
        <v>35411.981110000001</v>
      </c>
      <c r="F17" s="40">
        <v>33314.257969999999</v>
      </c>
      <c r="G17" s="44">
        <v>351669</v>
      </c>
      <c r="H17" s="43">
        <v>221454.86439999999</v>
      </c>
      <c r="I17" s="40">
        <v>105182.008</v>
      </c>
    </row>
    <row r="18" spans="1:9">
      <c r="A18" s="52">
        <v>2007</v>
      </c>
      <c r="B18" s="40">
        <v>44231.859219999998</v>
      </c>
      <c r="C18" s="40">
        <v>73467.921719999998</v>
      </c>
      <c r="D18" s="40">
        <v>147575.75150000001</v>
      </c>
      <c r="E18" s="41">
        <v>40646.62457</v>
      </c>
      <c r="F18" s="40">
        <v>35252.617440000002</v>
      </c>
      <c r="G18" s="44">
        <v>378524</v>
      </c>
      <c r="H18" s="43">
        <v>236848.18</v>
      </c>
      <c r="I18" s="40">
        <v>123682.30379999999</v>
      </c>
    </row>
    <row r="19" spans="1:9">
      <c r="A19" s="52">
        <v>2008</v>
      </c>
      <c r="B19" s="40">
        <v>46567.085480000002</v>
      </c>
      <c r="C19" s="40">
        <v>81172.63725</v>
      </c>
      <c r="D19" s="41">
        <v>148719.2346</v>
      </c>
      <c r="E19" s="40">
        <v>43906.412759999999</v>
      </c>
      <c r="F19" s="43">
        <v>36542.018629999999</v>
      </c>
      <c r="G19" s="44">
        <v>405405</v>
      </c>
      <c r="H19" s="43">
        <v>259250.1348</v>
      </c>
      <c r="I19" s="40">
        <v>145416.77669999999</v>
      </c>
    </row>
    <row r="20" spans="1:9">
      <c r="A20" s="52">
        <v>2009</v>
      </c>
      <c r="B20" s="40">
        <v>49635.397660000002</v>
      </c>
      <c r="C20" s="40">
        <v>82697.112070000003</v>
      </c>
      <c r="D20" s="40">
        <v>137283.9345</v>
      </c>
      <c r="E20" s="40">
        <v>45784.099139999998</v>
      </c>
      <c r="F20" s="43">
        <v>36422.760589999998</v>
      </c>
      <c r="G20" s="44">
        <v>404200</v>
      </c>
      <c r="H20" s="43">
        <v>265329.21149999998</v>
      </c>
      <c r="I20" s="41">
        <v>184059.79029999999</v>
      </c>
    </row>
    <row r="21" spans="1:9">
      <c r="A21" s="52">
        <v>2010</v>
      </c>
      <c r="B21" s="41">
        <v>50853.852279999999</v>
      </c>
      <c r="C21" s="40">
        <v>86954.777830000006</v>
      </c>
      <c r="D21" s="40">
        <v>140511.50719999999</v>
      </c>
      <c r="E21" s="40">
        <v>52146.571909999999</v>
      </c>
      <c r="F21" s="43">
        <v>37533.218150000001</v>
      </c>
      <c r="G21" s="44">
        <v>408495</v>
      </c>
      <c r="H21" s="43">
        <v>275186.23499999999</v>
      </c>
      <c r="I21" s="40">
        <v>212074.8694</v>
      </c>
    </row>
    <row r="22" spans="1:9">
      <c r="A22" s="52">
        <v>2011</v>
      </c>
      <c r="B22" s="40">
        <v>53617.291469999996</v>
      </c>
      <c r="C22" s="40">
        <v>95809.96574</v>
      </c>
      <c r="D22" s="40">
        <v>148389.22940000001</v>
      </c>
      <c r="E22" s="40">
        <v>58379.654159999998</v>
      </c>
      <c r="F22" s="40">
        <v>38778.586620000002</v>
      </c>
      <c r="G22" s="44">
        <v>427125</v>
      </c>
      <c r="H22" s="43">
        <v>293093.39279999997</v>
      </c>
      <c r="I22" s="40">
        <v>246477.19949999999</v>
      </c>
    </row>
    <row r="23" spans="1:9">
      <c r="A23" s="52">
        <v>2012</v>
      </c>
      <c r="B23" s="40">
        <v>55097.726219999997</v>
      </c>
      <c r="C23" s="40">
        <v>100490.08500000001</v>
      </c>
      <c r="D23" s="40">
        <v>152325.56760000001</v>
      </c>
      <c r="E23" s="40">
        <v>64862.488550000002</v>
      </c>
      <c r="F23" s="43">
        <v>38490.161820000001</v>
      </c>
      <c r="G23" s="44">
        <v>434424</v>
      </c>
      <c r="H23" s="43">
        <v>305655.95039999997</v>
      </c>
      <c r="I23" s="40">
        <v>290892.76549999998</v>
      </c>
    </row>
    <row r="24" spans="1:9">
      <c r="A24" s="52">
        <v>2013</v>
      </c>
      <c r="B24" s="40">
        <v>58353.32634</v>
      </c>
      <c r="C24" s="40">
        <v>102905.4546</v>
      </c>
      <c r="D24" s="41">
        <v>164655.76430000001</v>
      </c>
      <c r="E24" s="40">
        <v>68234.054770000002</v>
      </c>
      <c r="F24" s="40">
        <v>41532.087890000003</v>
      </c>
      <c r="G24" s="44">
        <v>455089</v>
      </c>
      <c r="H24" s="43">
        <v>317007.47930000001</v>
      </c>
      <c r="I24" s="40">
        <v>327146.2769</v>
      </c>
    </row>
    <row r="25" spans="1:9">
      <c r="A25" s="52">
        <v>2014</v>
      </c>
      <c r="B25" s="41">
        <v>60585.64991</v>
      </c>
      <c r="C25" s="40">
        <v>109562.68339999999</v>
      </c>
      <c r="D25" s="40">
        <v>169554.14850000001</v>
      </c>
      <c r="E25" s="40">
        <v>73099.813309999998</v>
      </c>
      <c r="F25" s="45">
        <v>60396.724309999998</v>
      </c>
      <c r="G25" s="44">
        <v>476971</v>
      </c>
      <c r="H25" s="43">
        <v>330550.99540000001</v>
      </c>
      <c r="I25" s="40">
        <v>352373.0969</v>
      </c>
    </row>
    <row r="26" spans="1:9">
      <c r="A26" s="52">
        <v>2015</v>
      </c>
      <c r="B26" s="40">
        <v>60557.588170000003</v>
      </c>
      <c r="C26" s="40">
        <v>114128.177</v>
      </c>
      <c r="D26" s="40">
        <v>168546.1195</v>
      </c>
      <c r="E26" s="40">
        <v>76932.390549999996</v>
      </c>
      <c r="F26" s="46">
        <v>62989.710599999999</v>
      </c>
      <c r="G26" s="47">
        <v>507372</v>
      </c>
      <c r="H26" s="43">
        <v>342132.84909999999</v>
      </c>
      <c r="I26" s="40">
        <v>374714.49540000001</v>
      </c>
    </row>
    <row r="27" spans="1:9">
      <c r="A27" s="52">
        <v>2016</v>
      </c>
      <c r="B27" s="40">
        <v>63651.422169999998</v>
      </c>
      <c r="C27" s="40">
        <v>122472.2055</v>
      </c>
      <c r="D27" s="40">
        <v>160269.31289999999</v>
      </c>
      <c r="E27" s="40">
        <v>80815.960699999996</v>
      </c>
      <c r="F27" s="46">
        <v>67116.278330000001</v>
      </c>
      <c r="G27" s="47">
        <v>533451</v>
      </c>
      <c r="H27" s="43">
        <v>360096.96220000001</v>
      </c>
      <c r="I27" s="40">
        <v>404635.42700000003</v>
      </c>
    </row>
    <row r="28" spans="1:9">
      <c r="A28" s="52">
        <v>2017</v>
      </c>
      <c r="B28" s="40">
        <v>65592.829119999995</v>
      </c>
      <c r="C28" s="40">
        <v>133668.0031</v>
      </c>
      <c r="D28" s="40">
        <v>166621.73420000001</v>
      </c>
      <c r="E28" s="40">
        <v>90289.881689999995</v>
      </c>
      <c r="F28" s="46">
        <v>70754.898979999998</v>
      </c>
      <c r="G28" s="44">
        <v>565446</v>
      </c>
      <c r="H28" s="43">
        <v>386631.76089999999</v>
      </c>
      <c r="I28" s="40">
        <v>435789.63059999997</v>
      </c>
    </row>
    <row r="29" spans="1:9">
      <c r="A29" s="52">
        <v>2018</v>
      </c>
      <c r="B29" s="40">
        <v>68653.972439999998</v>
      </c>
      <c r="C29" s="40">
        <v>142320.1851</v>
      </c>
      <c r="D29" s="41">
        <v>172035.79670000001</v>
      </c>
      <c r="E29" s="40">
        <v>100282.5864</v>
      </c>
      <c r="F29" s="45">
        <v>84778.413239999994</v>
      </c>
      <c r="G29" s="44">
        <v>617538</v>
      </c>
      <c r="H29" s="43">
        <v>413585.77189999999</v>
      </c>
      <c r="I29" s="40">
        <v>480642.32689999999</v>
      </c>
    </row>
    <row r="30" spans="1:9">
      <c r="A30" s="52">
        <v>2019</v>
      </c>
      <c r="B30" s="40">
        <v>75681.681930000006</v>
      </c>
      <c r="C30" s="40">
        <v>153293.15640000001</v>
      </c>
      <c r="D30" s="40">
        <v>173928.4265</v>
      </c>
      <c r="E30" s="40">
        <v>105064.36810000001</v>
      </c>
      <c r="F30" s="42">
        <v>89091.245519999997</v>
      </c>
      <c r="G30" s="44">
        <v>676995</v>
      </c>
      <c r="H30" s="43">
        <v>454268.87640000001</v>
      </c>
      <c r="I30" s="40">
        <v>545460.78540000005</v>
      </c>
    </row>
    <row r="31" spans="1:9">
      <c r="A31" s="52">
        <v>2020</v>
      </c>
      <c r="B31" s="40">
        <v>76072.643339999995</v>
      </c>
      <c r="C31" s="40">
        <v>150788.8204</v>
      </c>
      <c r="D31" s="40">
        <v>174926.4424</v>
      </c>
      <c r="E31" s="40">
        <v>112221.208</v>
      </c>
      <c r="F31" s="42">
        <v>94638.461479999998</v>
      </c>
      <c r="G31" s="44">
        <v>729857</v>
      </c>
      <c r="H31" s="43">
        <v>459895.8786</v>
      </c>
      <c r="I31" s="40">
        <v>607601.47380000004</v>
      </c>
    </row>
    <row r="32" spans="1:9">
      <c r="A32" s="52">
        <v>2021</v>
      </c>
      <c r="B32" s="40">
        <v>78839.717560000005</v>
      </c>
      <c r="C32" s="40">
        <v>160158.60519999999</v>
      </c>
      <c r="D32" s="40">
        <v>182504.42249999999</v>
      </c>
      <c r="E32" s="40">
        <v>123074.1182</v>
      </c>
      <c r="F32" s="42">
        <v>99066.844259999998</v>
      </c>
      <c r="G32" s="47">
        <v>821478</v>
      </c>
      <c r="H32" s="43">
        <v>492570.34539999999</v>
      </c>
      <c r="I32" s="40">
        <v>701114.63710000005</v>
      </c>
    </row>
    <row r="33" spans="1:9">
      <c r="A33" s="52">
        <v>2022</v>
      </c>
      <c r="B33" s="40">
        <v>84867.967749999996</v>
      </c>
      <c r="C33" s="40">
        <v>173935.9178</v>
      </c>
      <c r="D33" s="40">
        <v>201665.2923</v>
      </c>
      <c r="E33" s="40">
        <v>137943.8253</v>
      </c>
      <c r="F33" s="42">
        <v>108929.21980000001</v>
      </c>
      <c r="G33" s="44">
        <v>906953</v>
      </c>
      <c r="H33" s="43">
        <v>543643.22340000002</v>
      </c>
      <c r="I33" s="40">
        <v>811348.19979999994</v>
      </c>
    </row>
    <row r="34" spans="1:9">
      <c r="A34" s="52">
        <v>2023</v>
      </c>
      <c r="B34" s="40">
        <v>86748.804149999996</v>
      </c>
      <c r="C34" s="40">
        <v>181774.01139999999</v>
      </c>
      <c r="D34" s="40">
        <v>213803.5465</v>
      </c>
      <c r="E34" s="40">
        <v>143741.21590000001</v>
      </c>
      <c r="F34" s="42">
        <v>106155.7016</v>
      </c>
      <c r="G34" s="48">
        <v>955578</v>
      </c>
      <c r="H34" s="43">
        <v>570654.71589999995</v>
      </c>
      <c r="I34" s="40">
        <v>915462.81019999995</v>
      </c>
    </row>
    <row r="35" spans="1:9">
      <c r="B35" s="3"/>
      <c r="C35" s="3"/>
      <c r="D35" s="3"/>
      <c r="E35" s="3"/>
      <c r="F35" s="3"/>
      <c r="G35" s="3"/>
      <c r="H35" s="3"/>
      <c r="I35" s="3"/>
    </row>
  </sheetData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8A62-8C23-B64B-8219-C43C5A221EDB}">
  <sheetPr codeName="Sheet115"/>
  <dimension ref="A1:I24"/>
  <sheetViews>
    <sheetView workbookViewId="0">
      <selection sqref="A1:XFD2"/>
    </sheetView>
  </sheetViews>
  <sheetFormatPr baseColWidth="10" defaultRowHeight="15"/>
  <cols>
    <col min="2" max="2" width="19.1640625" bestFit="1" customWidth="1"/>
  </cols>
  <sheetData>
    <row r="1" spans="1:9">
      <c r="A1" s="30" t="s">
        <v>0</v>
      </c>
      <c r="B1" s="31" t="s">
        <v>30</v>
      </c>
      <c r="C1" s="31" t="s">
        <v>55</v>
      </c>
      <c r="D1" s="31" t="s">
        <v>163</v>
      </c>
      <c r="E1" s="31" t="s">
        <v>318</v>
      </c>
      <c r="F1" s="31" t="s">
        <v>370</v>
      </c>
      <c r="G1" s="31" t="s">
        <v>317</v>
      </c>
      <c r="H1" s="31" t="s">
        <v>480</v>
      </c>
      <c r="I1" s="31" t="s">
        <v>481</v>
      </c>
    </row>
    <row r="2" spans="1:9">
      <c r="A2" s="106">
        <v>2003</v>
      </c>
      <c r="B2" s="25">
        <v>8.0324637189933285E-3</v>
      </c>
      <c r="C2" s="25">
        <v>5.9184702581844023E-2</v>
      </c>
      <c r="D2" s="25">
        <v>4.3651293134481718E-2</v>
      </c>
      <c r="E2" s="25">
        <v>0</v>
      </c>
      <c r="F2" s="25">
        <v>3.2710302204640246E-2</v>
      </c>
      <c r="G2" s="25">
        <v>1.9810458990547945E-2</v>
      </c>
      <c r="H2" s="25">
        <v>3.2534045940691508E-2</v>
      </c>
      <c r="I2" s="25">
        <v>7.6151019955002439E-2</v>
      </c>
    </row>
    <row r="3" spans="1:9">
      <c r="A3" s="106">
        <v>2004</v>
      </c>
      <c r="B3" s="25">
        <v>1.8406788881485975E-2</v>
      </c>
      <c r="C3" s="25">
        <v>5.5101801153242591E-2</v>
      </c>
      <c r="D3" s="25">
        <v>4.7000736336489705E-2</v>
      </c>
      <c r="E3" s="25">
        <v>2.3840842653787248E-2</v>
      </c>
      <c r="F3" s="25">
        <v>3.713481500450308E-2</v>
      </c>
      <c r="G3" s="25">
        <v>2.7883060743166935E-2</v>
      </c>
      <c r="H3" s="25">
        <v>4.2489833812066516E-2</v>
      </c>
      <c r="I3" s="25">
        <v>7.3875792924411446E-2</v>
      </c>
    </row>
    <row r="4" spans="1:9">
      <c r="A4" s="106">
        <v>2005</v>
      </c>
      <c r="B4" s="25">
        <v>1.719710249987972E-2</v>
      </c>
      <c r="C4" s="25">
        <v>5.167943382185769E-2</v>
      </c>
      <c r="D4" s="25">
        <v>4.7872330982418984E-2</v>
      </c>
      <c r="E4" s="25">
        <v>2.4516716055058865E-2</v>
      </c>
      <c r="F4" s="25">
        <v>4.4952853206679237E-2</v>
      </c>
      <c r="G4" s="25">
        <v>2.6039177791860671E-2</v>
      </c>
      <c r="H4" s="25">
        <v>4.9210826605487999E-2</v>
      </c>
      <c r="I4" s="25">
        <v>7.2621443057965709E-2</v>
      </c>
    </row>
    <row r="5" spans="1:9">
      <c r="A5" s="106">
        <v>2006</v>
      </c>
      <c r="B5" s="25">
        <v>1.4821401404537858E-2</v>
      </c>
      <c r="C5" s="25">
        <v>5.3505579466738479E-2</v>
      </c>
      <c r="D5" s="25">
        <v>4.4407799317372425E-2</v>
      </c>
      <c r="E5" s="25">
        <v>2.3600181638748295E-2</v>
      </c>
      <c r="F5" s="25">
        <v>4.5426704017091264E-2</v>
      </c>
      <c r="G5" s="25">
        <v>2.249359691717925E-2</v>
      </c>
      <c r="H5" s="25">
        <v>3.6717290312686363E-2</v>
      </c>
      <c r="I5" s="25">
        <v>7.2285950185810174E-2</v>
      </c>
    </row>
    <row r="6" spans="1:9">
      <c r="A6" s="106">
        <v>2007</v>
      </c>
      <c r="B6" s="25">
        <v>1.4040610909601946E-2</v>
      </c>
      <c r="C6" s="25">
        <v>4.3103159867235646E-2</v>
      </c>
      <c r="D6" s="25">
        <v>4.4777981963245735E-2</v>
      </c>
      <c r="E6" s="25">
        <v>2.8549289638347037E-2</v>
      </c>
      <c r="F6" s="25">
        <v>4.0743340229520066E-2</v>
      </c>
      <c r="G6" s="25">
        <v>2.1473660865726545E-2</v>
      </c>
      <c r="H6" s="25">
        <v>3.7774182145659106E-2</v>
      </c>
      <c r="I6" s="25">
        <v>7.5092235286686959E-2</v>
      </c>
    </row>
    <row r="7" spans="1:9">
      <c r="A7" s="106">
        <v>2008</v>
      </c>
      <c r="B7" s="25">
        <v>2.457448654397049E-2</v>
      </c>
      <c r="C7" s="25">
        <v>4.4577372896540964E-2</v>
      </c>
      <c r="D7" s="25">
        <v>4.9738875450162888E-2</v>
      </c>
      <c r="E7" s="25">
        <v>2.7912313387358872E-2</v>
      </c>
      <c r="F7" s="25">
        <v>3.673204283016758E-2</v>
      </c>
      <c r="G7" s="25">
        <v>2.7198655624264302E-2</v>
      </c>
      <c r="H7" s="25">
        <v>3.538749284609876E-2</v>
      </c>
      <c r="I7" s="25">
        <v>7.5356311228768902E-2</v>
      </c>
    </row>
    <row r="8" spans="1:9">
      <c r="A8" s="106">
        <v>2009</v>
      </c>
      <c r="B8" s="25">
        <v>2.4882015958076403E-2</v>
      </c>
      <c r="C8" s="25">
        <v>4.5188463731297979E-2</v>
      </c>
      <c r="D8" s="25">
        <v>4.8010259168716707E-2</v>
      </c>
      <c r="E8" s="25">
        <v>4.1028785040433779E-2</v>
      </c>
      <c r="F8" s="25">
        <v>3.7992744908685219E-2</v>
      </c>
      <c r="G8" s="25">
        <v>2.7110401780611477E-2</v>
      </c>
      <c r="H8" s="25">
        <v>3.5668078357613979E-2</v>
      </c>
      <c r="I8" s="25">
        <v>7.3829940553462495E-2</v>
      </c>
    </row>
    <row r="9" spans="1:9">
      <c r="A9" s="106">
        <v>2010</v>
      </c>
      <c r="B9" s="25">
        <v>2.6968284385092384E-2</v>
      </c>
      <c r="C9" s="25">
        <v>4.6791955816943211E-2</v>
      </c>
      <c r="D9" s="25">
        <v>4.6112505296776921E-2</v>
      </c>
      <c r="E9" s="25">
        <v>4.0089627822445198E-2</v>
      </c>
      <c r="F9" s="25">
        <v>4.4444096066366914E-2</v>
      </c>
      <c r="G9" s="25">
        <v>2.5396013016878029E-2</v>
      </c>
      <c r="H9" s="25">
        <v>3.4737790800477765E-2</v>
      </c>
      <c r="I9" s="25">
        <v>7.1723092521612589E-2</v>
      </c>
    </row>
    <row r="10" spans="1:9">
      <c r="A10" s="106">
        <v>2011</v>
      </c>
      <c r="B10" s="25">
        <v>2.5777678769704087E-2</v>
      </c>
      <c r="C10" s="25">
        <v>4.755732890545137E-2</v>
      </c>
      <c r="D10" s="25">
        <v>4.7540750561763781E-2</v>
      </c>
      <c r="E10" s="25">
        <v>4.4102944991826452E-2</v>
      </c>
      <c r="F10" s="25">
        <v>4.9779708354694308E-2</v>
      </c>
      <c r="G10" s="25">
        <v>2.6479295405452279E-2</v>
      </c>
      <c r="H10" s="25">
        <v>3.6416232788990192E-2</v>
      </c>
      <c r="I10" s="25">
        <v>7.1748162533033885E-2</v>
      </c>
    </row>
    <row r="11" spans="1:9">
      <c r="A11" s="106">
        <v>2012</v>
      </c>
      <c r="B11" s="25">
        <v>3.1726666530998572E-2</v>
      </c>
      <c r="C11" s="25">
        <v>4.9104156782011889E-2</v>
      </c>
      <c r="D11" s="25">
        <v>4.5258891227003668E-2</v>
      </c>
      <c r="E11" s="25">
        <v>6.5016859914310984E-2</v>
      </c>
      <c r="F11" s="25">
        <v>4.9184852208841001E-2</v>
      </c>
      <c r="G11" s="25">
        <v>2.7420930167644662E-2</v>
      </c>
      <c r="H11" s="25">
        <v>4.1730910191340467E-2</v>
      </c>
      <c r="I11" s="25">
        <v>7.4439201545731234E-2</v>
      </c>
    </row>
    <row r="12" spans="1:9">
      <c r="A12" s="106">
        <v>2013</v>
      </c>
      <c r="B12" s="25">
        <v>3.2971680740687306E-2</v>
      </c>
      <c r="C12" s="25">
        <v>5.0090614226349535E-2</v>
      </c>
      <c r="D12" s="25">
        <v>3.9831052237135615E-2</v>
      </c>
      <c r="E12" s="25">
        <v>6.5108681377359562E-2</v>
      </c>
      <c r="F12" s="25">
        <v>5.4262210388439494E-2</v>
      </c>
      <c r="G12" s="25">
        <v>2.8835176300655713E-2</v>
      </c>
      <c r="H12" s="25">
        <v>3.89926548878924E-2</v>
      </c>
      <c r="I12" s="25">
        <v>7.5576746774243031E-2</v>
      </c>
    </row>
    <row r="13" spans="1:9">
      <c r="A13" s="106">
        <v>2014</v>
      </c>
      <c r="B13" s="25">
        <v>4.0006128907695081E-2</v>
      </c>
      <c r="C13" s="25">
        <v>4.9922189625222282E-2</v>
      </c>
      <c r="D13" s="25">
        <v>3.8439749450741474E-2</v>
      </c>
      <c r="E13" s="25">
        <v>9.0864316900161349E-2</v>
      </c>
      <c r="F13" s="25">
        <v>6.3382015739920763E-2</v>
      </c>
      <c r="G13" s="25">
        <v>3.0431791180818051E-2</v>
      </c>
      <c r="H13" s="25">
        <v>3.7688078726275991E-2</v>
      </c>
      <c r="I13" s="25">
        <v>8.3069698441740294E-2</v>
      </c>
    </row>
    <row r="14" spans="1:9">
      <c r="A14" s="106">
        <v>2015</v>
      </c>
      <c r="B14" s="25">
        <v>4.7408938490859878E-2</v>
      </c>
      <c r="C14" s="25">
        <v>4.9779743379687158E-2</v>
      </c>
      <c r="D14" s="25">
        <v>3.847966911866206E-2</v>
      </c>
      <c r="E14" s="25">
        <v>7.7562265293062566E-2</v>
      </c>
      <c r="F14" s="25">
        <v>5.6833117964646247E-2</v>
      </c>
      <c r="G14" s="25">
        <v>3.1666464002922654E-2</v>
      </c>
      <c r="H14" s="25">
        <v>5.4229931705190595E-2</v>
      </c>
      <c r="I14" s="25">
        <v>8.6021271722779874E-2</v>
      </c>
    </row>
    <row r="15" spans="1:9">
      <c r="A15" s="106">
        <v>2016</v>
      </c>
      <c r="B15" s="25">
        <v>4.9671146990366184E-2</v>
      </c>
      <c r="C15" s="25">
        <v>4.9884523384525557E-2</v>
      </c>
      <c r="D15" s="25">
        <v>3.999300206569012E-2</v>
      </c>
      <c r="E15" s="25">
        <v>7.1740930030700312E-2</v>
      </c>
      <c r="F15" s="25">
        <v>5.197031125295036E-2</v>
      </c>
      <c r="G15" s="25">
        <v>3.2993713480877339E-2</v>
      </c>
      <c r="H15" s="25">
        <v>5.0031173176982593E-2</v>
      </c>
      <c r="I15" s="25">
        <v>8.7480650834361559E-2</v>
      </c>
    </row>
    <row r="16" spans="1:9">
      <c r="A16" s="106">
        <v>2017</v>
      </c>
      <c r="B16" s="25">
        <v>5.4902503741479952E-2</v>
      </c>
      <c r="C16" s="25">
        <v>5.1854027538285941E-2</v>
      </c>
      <c r="D16" s="25">
        <v>4.0271187082778499E-2</v>
      </c>
      <c r="E16" s="25">
        <v>7.3745725128264661E-2</v>
      </c>
      <c r="F16" s="25">
        <v>5.3600456799679133E-2</v>
      </c>
      <c r="G16" s="25">
        <v>3.3466721918258002E-2</v>
      </c>
      <c r="H16" s="25">
        <v>5.4714681990100454E-2</v>
      </c>
      <c r="I16" s="25">
        <v>8.7606192989507323E-2</v>
      </c>
    </row>
    <row r="17" spans="1:9">
      <c r="A17" s="106">
        <v>2018</v>
      </c>
      <c r="B17" s="25">
        <v>6.0070886320617349E-2</v>
      </c>
      <c r="C17" s="25">
        <v>5.8545464262229133E-2</v>
      </c>
      <c r="D17" s="25">
        <v>4.0753394857292263E-2</v>
      </c>
      <c r="E17" s="25">
        <v>0.14909418965690471</v>
      </c>
      <c r="F17" s="25">
        <v>7.001779527205873E-2</v>
      </c>
      <c r="G17" s="25">
        <v>3.2768161911069842E-2</v>
      </c>
      <c r="H17" s="25">
        <v>5.6504035449073599E-2</v>
      </c>
      <c r="I17" s="25">
        <v>9.0398828878700932E-2</v>
      </c>
    </row>
    <row r="18" spans="1:9">
      <c r="A18" s="106">
        <v>2019</v>
      </c>
      <c r="B18" s="25">
        <v>6.588379917827257E-2</v>
      </c>
      <c r="C18" s="25">
        <v>6.0487210477404345E-2</v>
      </c>
      <c r="D18" s="25">
        <v>4.119689138765769E-2</v>
      </c>
      <c r="E18" s="25">
        <v>0.13470956469205156</v>
      </c>
      <c r="F18" s="25">
        <v>8.0149134058384072E-2</v>
      </c>
      <c r="G18" s="25">
        <v>3.5226069086717958E-2</v>
      </c>
      <c r="H18" s="25">
        <v>5.102460470066586E-2</v>
      </c>
      <c r="I18" s="25">
        <v>9.9933411844678216E-2</v>
      </c>
    </row>
    <row r="19" spans="1:9">
      <c r="A19" s="106">
        <v>2020</v>
      </c>
      <c r="B19" s="25">
        <v>6.8850653800165057E-2</v>
      </c>
      <c r="C19" s="25">
        <v>6.0451088641667892E-2</v>
      </c>
      <c r="D19" s="25">
        <v>4.9451799025133032E-2</v>
      </c>
      <c r="E19" s="25">
        <v>0.12834376928261296</v>
      </c>
      <c r="F19" s="25">
        <v>8.2475899481272527E-2</v>
      </c>
      <c r="G19" s="25">
        <v>3.7006277933524956E-2</v>
      </c>
      <c r="H19" s="25">
        <v>5.4087001352239726E-2</v>
      </c>
      <c r="I19" s="25">
        <v>0.10388085797060879</v>
      </c>
    </row>
    <row r="20" spans="1:9">
      <c r="A20" s="106">
        <v>2021</v>
      </c>
      <c r="B20" s="25">
        <v>7.0779182413183581E-2</v>
      </c>
      <c r="C20" s="25">
        <v>6.2001078404272617E-2</v>
      </c>
      <c r="D20" s="25">
        <v>4.8619866494673557E-2</v>
      </c>
      <c r="E20" s="25">
        <v>0.11039559196516785</v>
      </c>
      <c r="F20" s="25">
        <v>7.5351330764653002E-2</v>
      </c>
      <c r="G20" s="25">
        <v>3.83911043911834E-2</v>
      </c>
      <c r="H20" s="25">
        <v>5.1412823056052631E-2</v>
      </c>
      <c r="I20" s="25">
        <v>0.10233932375543107</v>
      </c>
    </row>
    <row r="21" spans="1:9">
      <c r="A21" s="106">
        <v>2022</v>
      </c>
      <c r="B21" s="25">
        <v>7.5069248384162637E-2</v>
      </c>
      <c r="C21" s="25">
        <v>6.4692726723633576E-2</v>
      </c>
      <c r="D21" s="25">
        <v>4.8870195917102836E-2</v>
      </c>
      <c r="E21" s="25">
        <v>0.14700931936645326</v>
      </c>
      <c r="F21" s="25">
        <v>7.6641128875175393E-2</v>
      </c>
      <c r="G21" s="25">
        <v>3.9612822884694698E-2</v>
      </c>
      <c r="H21" s="25">
        <v>4.5295840562292626E-2</v>
      </c>
      <c r="I21" s="25">
        <v>0.11266584102407473</v>
      </c>
    </row>
    <row r="22" spans="1:9">
      <c r="A22" s="106">
        <v>2023</v>
      </c>
      <c r="B22" s="25">
        <v>7.3338277377717517E-2</v>
      </c>
      <c r="C22" s="25">
        <v>6.7917118750805389E-2</v>
      </c>
      <c r="D22" s="25">
        <v>5.225823724143052E-2</v>
      </c>
      <c r="E22" s="25">
        <v>0.12871586782047287</v>
      </c>
      <c r="F22" s="25">
        <v>9.5443721500531778E-2</v>
      </c>
      <c r="G22" s="25">
        <v>4.4766995799086357E-2</v>
      </c>
      <c r="H22" s="25">
        <v>3.6178903733282447E-2</v>
      </c>
      <c r="I22" s="25">
        <v>0.11493030333487188</v>
      </c>
    </row>
    <row r="23" spans="1:9">
      <c r="A23" s="106">
        <v>2024</v>
      </c>
      <c r="B23" s="25">
        <v>7.1999207655721195E-2</v>
      </c>
      <c r="C23" s="25">
        <v>5.9843938721097487E-2</v>
      </c>
      <c r="D23" s="25">
        <v>5.2203989164360802E-2</v>
      </c>
      <c r="E23" s="25">
        <v>0.14203227433182047</v>
      </c>
      <c r="F23" s="25">
        <v>9.5546679748779798E-2</v>
      </c>
      <c r="G23" s="25">
        <v>4.3901300844342558E-2</v>
      </c>
      <c r="H23" s="25">
        <v>3.4750255769910129E-2</v>
      </c>
      <c r="I23" s="25">
        <v>0.11508978848960805</v>
      </c>
    </row>
    <row r="24" spans="1:9">
      <c r="B24" s="133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F249-8CEC-C34E-86BC-042BDCE1002F}">
  <sheetPr codeName="Sheet106"/>
  <dimension ref="A1:K54"/>
  <sheetViews>
    <sheetView workbookViewId="0">
      <selection activeCell="E37" sqref="E37"/>
    </sheetView>
  </sheetViews>
  <sheetFormatPr baseColWidth="10" defaultRowHeight="15"/>
  <sheetData>
    <row r="1" spans="1:11" ht="16">
      <c r="A1" t="s">
        <v>0</v>
      </c>
      <c r="B1" s="21" t="s">
        <v>561</v>
      </c>
      <c r="C1" s="120"/>
      <c r="D1" s="120"/>
      <c r="E1" s="120"/>
      <c r="G1" s="121"/>
      <c r="H1" s="120"/>
    </row>
    <row r="2" spans="1:11" ht="16">
      <c r="A2" s="21">
        <v>2002</v>
      </c>
      <c r="B2" s="123">
        <v>0.67100000000000004</v>
      </c>
      <c r="C2" s="120"/>
      <c r="D2" s="120"/>
      <c r="E2" s="120"/>
      <c r="G2" s="121"/>
      <c r="H2" s="120"/>
    </row>
    <row r="3" spans="1:11" ht="16">
      <c r="A3" s="21">
        <v>2003</v>
      </c>
      <c r="B3" s="123">
        <v>0.65700000000000003</v>
      </c>
      <c r="C3" s="120"/>
      <c r="D3" s="120"/>
      <c r="E3" s="120"/>
      <c r="G3" s="121"/>
      <c r="H3" s="120"/>
    </row>
    <row r="4" spans="1:11" ht="16">
      <c r="A4" s="21">
        <v>2004</v>
      </c>
      <c r="B4" s="123">
        <v>0.66400000000000003</v>
      </c>
      <c r="C4" s="120"/>
      <c r="D4" s="120"/>
      <c r="E4" s="120"/>
      <c r="G4" s="121"/>
      <c r="H4" s="120"/>
    </row>
    <row r="5" spans="1:11" ht="16">
      <c r="A5" s="21">
        <v>2005</v>
      </c>
      <c r="B5" s="123">
        <v>0.70099999999999996</v>
      </c>
      <c r="C5" s="120"/>
      <c r="D5" s="120"/>
      <c r="E5" s="120"/>
      <c r="G5" s="121"/>
      <c r="H5" s="120"/>
    </row>
    <row r="6" spans="1:11" ht="16">
      <c r="A6" s="21">
        <v>2006</v>
      </c>
      <c r="B6" s="124">
        <v>0.73</v>
      </c>
      <c r="C6" s="120"/>
      <c r="D6" s="120"/>
      <c r="E6" s="120"/>
      <c r="G6" s="121"/>
      <c r="H6" s="120"/>
    </row>
    <row r="7" spans="1:11" ht="16">
      <c r="A7" s="21">
        <v>2007</v>
      </c>
      <c r="B7" s="123">
        <v>0.74099999999999999</v>
      </c>
      <c r="C7" s="120"/>
      <c r="D7" s="120"/>
      <c r="E7" s="120"/>
      <c r="G7" s="121"/>
      <c r="H7" s="120"/>
    </row>
    <row r="8" spans="1:11" ht="16">
      <c r="A8" s="21">
        <v>2008</v>
      </c>
      <c r="B8" s="123">
        <v>0.73499999999999999</v>
      </c>
      <c r="C8" s="120"/>
      <c r="D8" s="120"/>
      <c r="E8" s="120"/>
      <c r="H8" s="120"/>
    </row>
    <row r="9" spans="1:11" ht="16">
      <c r="A9" s="21">
        <v>2009</v>
      </c>
      <c r="B9" s="123">
        <v>0.70699999999999996</v>
      </c>
      <c r="C9" s="120"/>
      <c r="D9" s="120"/>
      <c r="E9" s="120"/>
      <c r="H9" s="120"/>
    </row>
    <row r="10" spans="1:11" ht="16">
      <c r="A10" s="21">
        <v>2010</v>
      </c>
      <c r="B10" s="123">
        <v>0.69099999999999995</v>
      </c>
      <c r="C10" s="120"/>
      <c r="D10" s="120"/>
      <c r="E10" s="120"/>
      <c r="H10" s="120"/>
    </row>
    <row r="11" spans="1:11" ht="16">
      <c r="A11" s="21">
        <v>2011</v>
      </c>
      <c r="B11" s="123">
        <v>0.70099999999999996</v>
      </c>
      <c r="C11" s="120"/>
      <c r="D11" s="120"/>
      <c r="E11" s="120"/>
      <c r="F11" s="120"/>
      <c r="G11" s="122"/>
      <c r="H11" s="120"/>
      <c r="I11" s="120"/>
      <c r="J11" s="120"/>
      <c r="K11" s="120"/>
    </row>
    <row r="12" spans="1:11" ht="16">
      <c r="A12" s="21">
        <v>2012</v>
      </c>
      <c r="B12" s="123">
        <v>0.70699999999999996</v>
      </c>
      <c r="C12" s="120"/>
      <c r="D12" s="120"/>
      <c r="E12" s="120"/>
      <c r="F12" s="120"/>
      <c r="G12" s="122"/>
      <c r="H12" s="120"/>
      <c r="I12" s="120"/>
      <c r="J12" s="120"/>
      <c r="K12" s="120"/>
    </row>
    <row r="13" spans="1:11" ht="16">
      <c r="A13" s="21">
        <v>2013</v>
      </c>
      <c r="B13" s="123">
        <v>0.70099999999999996</v>
      </c>
      <c r="C13" s="120"/>
      <c r="D13" s="120"/>
      <c r="E13" s="120"/>
      <c r="F13" s="120"/>
      <c r="G13" s="122"/>
      <c r="H13" s="120"/>
      <c r="I13" s="120"/>
      <c r="J13" s="120"/>
      <c r="K13" s="120"/>
    </row>
    <row r="14" spans="1:11" ht="16">
      <c r="A14" s="21">
        <v>2014</v>
      </c>
      <c r="B14" s="123">
        <v>0.71099999999999997</v>
      </c>
      <c r="C14" s="120"/>
      <c r="D14" s="120"/>
      <c r="E14" s="120"/>
      <c r="F14" s="120"/>
      <c r="G14" s="122"/>
      <c r="H14" s="120"/>
      <c r="I14" s="120"/>
      <c r="J14" s="120"/>
      <c r="K14" s="120"/>
    </row>
    <row r="15" spans="1:11" ht="16">
      <c r="A15" s="21">
        <v>2015</v>
      </c>
      <c r="B15" s="123">
        <v>0.71299999999999997</v>
      </c>
      <c r="C15" s="120"/>
      <c r="D15" s="120"/>
      <c r="E15" s="120"/>
      <c r="F15" s="120"/>
      <c r="G15" s="122"/>
      <c r="H15" s="120"/>
      <c r="I15" s="120"/>
      <c r="J15" s="120"/>
      <c r="K15" s="120"/>
    </row>
    <row r="16" spans="1:11" ht="16">
      <c r="A16" s="21">
        <v>2016</v>
      </c>
      <c r="B16" s="123">
        <v>0.72399999999999998</v>
      </c>
      <c r="C16" s="120"/>
      <c r="D16" s="120"/>
      <c r="E16" s="120"/>
      <c r="F16" s="120"/>
      <c r="G16" s="122"/>
      <c r="H16" s="120"/>
      <c r="I16" s="120"/>
      <c r="J16" s="120"/>
      <c r="K16" s="120"/>
    </row>
    <row r="17" spans="1:11" ht="16">
      <c r="A17" s="21">
        <v>2017</v>
      </c>
      <c r="B17" s="123">
        <v>0.74199999999999999</v>
      </c>
      <c r="C17" s="120"/>
      <c r="D17" s="120"/>
      <c r="E17" s="120"/>
      <c r="F17" s="120"/>
      <c r="G17" s="122"/>
      <c r="H17" s="120"/>
      <c r="I17" s="120"/>
      <c r="J17" s="120"/>
      <c r="K17" s="120"/>
    </row>
    <row r="18" spans="1:11" ht="16">
      <c r="A18" s="21">
        <v>2018</v>
      </c>
      <c r="B18" s="124">
        <v>0.72</v>
      </c>
      <c r="C18" s="120"/>
      <c r="D18" s="120"/>
      <c r="E18" s="120"/>
      <c r="F18" s="120"/>
      <c r="G18" s="122"/>
      <c r="H18" s="120"/>
      <c r="I18" s="120"/>
      <c r="J18" s="120"/>
      <c r="K18" s="120"/>
    </row>
    <row r="19" spans="1:11" ht="16">
      <c r="A19" s="21">
        <v>2019</v>
      </c>
      <c r="B19" s="123">
        <v>0.71199999999999997</v>
      </c>
      <c r="C19" s="120"/>
      <c r="D19" s="120"/>
      <c r="E19" s="120"/>
      <c r="F19" s="120"/>
      <c r="G19" s="122"/>
      <c r="H19" s="120"/>
      <c r="I19" s="120"/>
      <c r="J19" s="120"/>
      <c r="K19" s="120"/>
    </row>
    <row r="20" spans="1:11" ht="16">
      <c r="A20" s="21">
        <v>2020</v>
      </c>
      <c r="B20" s="124">
        <v>0.73</v>
      </c>
      <c r="C20" s="120"/>
      <c r="D20" s="120"/>
      <c r="E20" s="120"/>
      <c r="F20" s="120"/>
      <c r="G20" s="122"/>
      <c r="H20" s="120"/>
      <c r="I20" s="120"/>
      <c r="J20" s="120"/>
      <c r="K20" s="120"/>
    </row>
    <row r="21" spans="1:11" ht="16">
      <c r="A21" s="21">
        <v>2021</v>
      </c>
      <c r="B21" s="124">
        <v>0.73</v>
      </c>
      <c r="C21" s="120"/>
      <c r="D21" s="120"/>
      <c r="E21" s="120"/>
      <c r="F21" s="120"/>
      <c r="G21" s="122"/>
      <c r="H21" s="120"/>
      <c r="I21" s="120"/>
      <c r="J21" s="120"/>
      <c r="K21" s="120"/>
    </row>
    <row r="22" spans="1:11" ht="16">
      <c r="A22" s="21">
        <v>2022</v>
      </c>
      <c r="B22" s="123">
        <v>0.74299999999999999</v>
      </c>
      <c r="C22" s="120"/>
      <c r="D22" s="120"/>
      <c r="E22" s="120"/>
      <c r="F22" s="120"/>
      <c r="G22" s="122"/>
      <c r="H22" s="120"/>
      <c r="I22" s="120"/>
      <c r="J22" s="120"/>
      <c r="K22" s="120"/>
    </row>
    <row r="23" spans="1:11" ht="16">
      <c r="A23" s="21">
        <v>2023</v>
      </c>
      <c r="B23" s="123">
        <v>0.76200000000000001</v>
      </c>
      <c r="C23" s="120"/>
      <c r="D23" s="120"/>
      <c r="E23" s="120"/>
      <c r="F23" s="120"/>
      <c r="G23" s="122"/>
      <c r="H23" s="120"/>
      <c r="I23" s="120"/>
      <c r="J23" s="120"/>
      <c r="K23" s="120"/>
    </row>
    <row r="24" spans="1:11" ht="16">
      <c r="A24" s="21">
        <v>2024</v>
      </c>
      <c r="B24" s="123">
        <v>0.75800000000000001</v>
      </c>
      <c r="C24" s="120"/>
      <c r="D24" s="120"/>
      <c r="E24" s="120"/>
      <c r="F24" s="120"/>
      <c r="G24" s="122"/>
      <c r="H24" s="120"/>
      <c r="I24" s="120"/>
      <c r="J24" s="120"/>
      <c r="K24" s="120"/>
    </row>
    <row r="25" spans="1:11" ht="16">
      <c r="B25" s="7"/>
      <c r="C25" s="120"/>
      <c r="D25" s="120"/>
      <c r="E25" s="120"/>
      <c r="F25" s="120"/>
      <c r="G25" s="122"/>
      <c r="H25" s="120"/>
      <c r="I25" s="120"/>
      <c r="J25" s="120"/>
      <c r="K25" s="120"/>
    </row>
    <row r="26" spans="1:11" ht="16">
      <c r="B26" s="7"/>
      <c r="C26" s="121"/>
      <c r="D26" s="121"/>
      <c r="E26" s="121"/>
      <c r="F26" s="121"/>
      <c r="G26" s="122"/>
      <c r="H26" s="120"/>
      <c r="I26" s="120"/>
      <c r="J26" s="120"/>
      <c r="K26" s="120"/>
    </row>
    <row r="27" spans="1:11" ht="16">
      <c r="B27" s="7"/>
      <c r="C27" s="121"/>
      <c r="D27" s="121"/>
      <c r="E27" s="121"/>
      <c r="F27" s="121"/>
      <c r="G27" s="122"/>
      <c r="H27" s="120"/>
      <c r="I27" s="120"/>
      <c r="J27" s="120"/>
      <c r="K27" s="120"/>
    </row>
    <row r="28" spans="1:11" ht="16">
      <c r="B28" s="7"/>
      <c r="C28" s="121"/>
      <c r="D28" s="121"/>
      <c r="E28" s="121"/>
      <c r="F28" s="121"/>
      <c r="G28" s="122"/>
      <c r="H28" s="120"/>
      <c r="I28" s="120"/>
      <c r="J28" s="120"/>
      <c r="K28" s="120"/>
    </row>
    <row r="29" spans="1:11" ht="16">
      <c r="B29" s="121"/>
      <c r="C29" s="121"/>
      <c r="D29" s="121"/>
      <c r="E29" s="121"/>
      <c r="F29" s="121"/>
      <c r="G29" s="122"/>
      <c r="H29" s="120"/>
      <c r="I29" s="120"/>
      <c r="J29" s="120"/>
      <c r="K29" s="120"/>
    </row>
    <row r="30" spans="1:11" ht="16">
      <c r="B30" s="121"/>
      <c r="C30" s="121"/>
      <c r="D30" s="121"/>
      <c r="E30" s="121"/>
      <c r="F30" s="121"/>
      <c r="G30" s="122"/>
      <c r="H30" s="120"/>
      <c r="I30" s="120"/>
      <c r="J30" s="120"/>
      <c r="K30" s="120"/>
    </row>
    <row r="31" spans="1:11" ht="16">
      <c r="B31" s="121"/>
      <c r="C31" s="121"/>
      <c r="D31" s="121"/>
      <c r="E31" s="121"/>
      <c r="F31" s="121"/>
      <c r="G31" s="122"/>
      <c r="H31" s="120"/>
      <c r="I31" s="120"/>
      <c r="J31" s="120"/>
      <c r="K31" s="120"/>
    </row>
    <row r="32" spans="1:11" ht="16">
      <c r="B32" s="121"/>
      <c r="C32" s="121"/>
      <c r="D32" s="121"/>
      <c r="E32" s="121"/>
      <c r="F32" s="121"/>
      <c r="G32" s="122"/>
      <c r="H32" s="120"/>
      <c r="I32" s="120"/>
      <c r="J32" s="120"/>
      <c r="K32" s="120"/>
    </row>
    <row r="33" spans="6:6" ht="16">
      <c r="F33" s="120"/>
    </row>
    <row r="34" spans="6:6" ht="16">
      <c r="F34" s="120"/>
    </row>
    <row r="35" spans="6:6" ht="16">
      <c r="F35" s="120"/>
    </row>
    <row r="36" spans="6:6" ht="16">
      <c r="F36" s="120"/>
    </row>
    <row r="37" spans="6:6" ht="16">
      <c r="F37" s="120"/>
    </row>
    <row r="38" spans="6:6" ht="16">
      <c r="F38" s="120"/>
    </row>
    <row r="39" spans="6:6" ht="16">
      <c r="F39" s="120"/>
    </row>
    <row r="40" spans="6:6" ht="16">
      <c r="F40" s="120"/>
    </row>
    <row r="41" spans="6:6" ht="16">
      <c r="F41" s="120"/>
    </row>
    <row r="42" spans="6:6" ht="16">
      <c r="F42" s="120"/>
    </row>
    <row r="43" spans="6:6" ht="16">
      <c r="F43" s="120"/>
    </row>
    <row r="44" spans="6:6" ht="16">
      <c r="F44" s="120"/>
    </row>
    <row r="45" spans="6:6" ht="16">
      <c r="F45" s="120"/>
    </row>
    <row r="46" spans="6:6" ht="16">
      <c r="F46" s="120"/>
    </row>
    <row r="47" spans="6:6" ht="16">
      <c r="F47" s="120"/>
    </row>
    <row r="48" spans="6:6" ht="16">
      <c r="F48" s="120"/>
    </row>
    <row r="49" spans="6:6" ht="16">
      <c r="F49" s="120"/>
    </row>
    <row r="50" spans="6:6" ht="16">
      <c r="F50" s="120"/>
    </row>
    <row r="51" spans="6:6" ht="16">
      <c r="F51" s="120"/>
    </row>
    <row r="52" spans="6:6" ht="16">
      <c r="F52" s="120"/>
    </row>
    <row r="53" spans="6:6" ht="16">
      <c r="F53" s="120"/>
    </row>
    <row r="54" spans="6:6" ht="16">
      <c r="F54" s="120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50"/>
  <sheetViews>
    <sheetView workbookViewId="0">
      <selection activeCell="K30" sqref="K30"/>
    </sheetView>
  </sheetViews>
  <sheetFormatPr baseColWidth="10" defaultColWidth="8.83203125" defaultRowHeight="15"/>
  <sheetData>
    <row r="1" spans="1:8">
      <c r="A1" t="s">
        <v>0</v>
      </c>
      <c r="B1" s="21" t="s">
        <v>410</v>
      </c>
      <c r="C1" s="21" t="s">
        <v>6</v>
      </c>
      <c r="D1" s="21" t="s">
        <v>413</v>
      </c>
      <c r="E1" s="21" t="s">
        <v>412</v>
      </c>
      <c r="F1" s="21" t="s">
        <v>411</v>
      </c>
      <c r="G1" s="21" t="s">
        <v>4</v>
      </c>
      <c r="H1" s="125" t="s">
        <v>414</v>
      </c>
    </row>
    <row r="2" spans="1:8">
      <c r="A2">
        <v>2002</v>
      </c>
      <c r="B2" s="126">
        <v>0.59</v>
      </c>
      <c r="C2" s="126">
        <v>0.69499999999999995</v>
      </c>
      <c r="D2" s="126">
        <v>0.54500000000000004</v>
      </c>
      <c r="E2" s="126">
        <v>0.54899999999999993</v>
      </c>
      <c r="F2" s="126">
        <v>0.49099999999999999</v>
      </c>
      <c r="G2" s="126">
        <v>0.74199999999999999</v>
      </c>
      <c r="H2" s="126">
        <v>0.20800000000000002</v>
      </c>
    </row>
    <row r="3" spans="1:8">
      <c r="A3">
        <v>2003</v>
      </c>
      <c r="B3" s="126">
        <v>0.57899999999999996</v>
      </c>
      <c r="C3" s="126">
        <v>0.69099999999999995</v>
      </c>
      <c r="D3" s="126">
        <v>0.51800000000000002</v>
      </c>
      <c r="E3" s="126">
        <v>0.503</v>
      </c>
      <c r="F3" s="126">
        <v>0.50700000000000001</v>
      </c>
      <c r="G3" s="126">
        <v>0.71599999999999997</v>
      </c>
      <c r="H3" s="126">
        <v>0.57399999999999995</v>
      </c>
    </row>
    <row r="4" spans="1:8">
      <c r="A4">
        <v>2004</v>
      </c>
      <c r="B4" s="126">
        <v>0.54600000000000004</v>
      </c>
      <c r="C4" s="126">
        <v>0.66200000000000003</v>
      </c>
      <c r="D4" s="126">
        <v>0.5</v>
      </c>
      <c r="E4" s="126">
        <v>0.62</v>
      </c>
      <c r="F4" s="126">
        <v>0.51200000000000001</v>
      </c>
      <c r="G4" s="126">
        <v>0.74</v>
      </c>
      <c r="H4" s="126">
        <v>0.128</v>
      </c>
    </row>
    <row r="5" spans="1:8">
      <c r="A5">
        <v>2005</v>
      </c>
      <c r="B5" s="126">
        <v>0.61399999999999999</v>
      </c>
      <c r="C5" s="126">
        <v>0.71200000000000008</v>
      </c>
      <c r="D5" s="126">
        <v>0.59899999999999998</v>
      </c>
      <c r="E5" s="126">
        <v>0.57499999999999996</v>
      </c>
      <c r="F5" s="126">
        <v>0.52700000000000002</v>
      </c>
      <c r="G5" s="126">
        <v>0.76</v>
      </c>
      <c r="H5" s="126">
        <v>0.33299999999999996</v>
      </c>
    </row>
    <row r="6" spans="1:8">
      <c r="A6">
        <v>2006</v>
      </c>
      <c r="B6" s="126">
        <v>0.65300000000000002</v>
      </c>
      <c r="C6" s="126">
        <v>0.70200000000000007</v>
      </c>
      <c r="D6" s="126">
        <v>0.61299999999999999</v>
      </c>
      <c r="E6" s="126">
        <v>0.63500000000000001</v>
      </c>
      <c r="F6" s="126">
        <v>0.54500000000000004</v>
      </c>
      <c r="G6" s="126">
        <v>0.78900000000000003</v>
      </c>
      <c r="H6" s="126">
        <v>0.34</v>
      </c>
    </row>
    <row r="7" spans="1:8">
      <c r="A7">
        <v>2007</v>
      </c>
      <c r="B7" s="126">
        <v>0.68299999999999994</v>
      </c>
      <c r="C7" s="126">
        <v>0.68099999999999994</v>
      </c>
      <c r="D7" s="126">
        <v>0.63600000000000001</v>
      </c>
      <c r="E7" s="126">
        <v>0.63900000000000001</v>
      </c>
      <c r="F7" s="126">
        <v>0.58200000000000007</v>
      </c>
      <c r="G7" s="126">
        <v>0.8</v>
      </c>
      <c r="H7" s="126">
        <v>0.496</v>
      </c>
    </row>
    <row r="8" spans="1:8">
      <c r="A8">
        <v>2008</v>
      </c>
      <c r="B8" s="126">
        <v>0.65400000000000003</v>
      </c>
      <c r="C8" s="126">
        <v>0.67799999999999994</v>
      </c>
      <c r="D8" s="126">
        <v>0.65200000000000002</v>
      </c>
      <c r="E8" s="126">
        <v>0.67799999999999994</v>
      </c>
      <c r="F8" s="126">
        <v>0.57499999999999996</v>
      </c>
      <c r="G8" s="126">
        <v>0.79200000000000004</v>
      </c>
      <c r="H8" s="126">
        <v>0.377</v>
      </c>
    </row>
    <row r="9" spans="1:8">
      <c r="A9">
        <v>2009</v>
      </c>
      <c r="B9" s="126">
        <v>0.66299999999999992</v>
      </c>
      <c r="C9" s="126">
        <v>0.626</v>
      </c>
      <c r="D9" s="126">
        <v>0.67099999999999993</v>
      </c>
      <c r="E9" s="126">
        <v>0.66200000000000003</v>
      </c>
      <c r="F9" s="126">
        <v>0.56200000000000006</v>
      </c>
      <c r="G9" s="126">
        <v>0.75700000000000001</v>
      </c>
      <c r="H9" s="126">
        <v>0.43</v>
      </c>
    </row>
    <row r="10" spans="1:8">
      <c r="A10">
        <v>2010</v>
      </c>
      <c r="B10" s="126">
        <v>0.629</v>
      </c>
      <c r="C10" s="126">
        <v>0.64200000000000002</v>
      </c>
      <c r="D10" s="126">
        <v>0.60299999999999998</v>
      </c>
      <c r="E10" s="126">
        <v>0.58700000000000008</v>
      </c>
      <c r="F10" s="126">
        <v>0.56000000000000005</v>
      </c>
      <c r="G10" s="126">
        <v>0.74400000000000011</v>
      </c>
      <c r="H10" s="126">
        <v>0.434</v>
      </c>
    </row>
    <row r="11" spans="1:8">
      <c r="A11">
        <v>2011</v>
      </c>
      <c r="B11" s="126">
        <v>0.64200000000000002</v>
      </c>
      <c r="C11" s="126">
        <v>0.64300000000000002</v>
      </c>
      <c r="D11" s="126">
        <v>0.61299999999999999</v>
      </c>
      <c r="E11" s="126">
        <v>0.61499999999999999</v>
      </c>
      <c r="F11" s="126">
        <v>0.57299999999999995</v>
      </c>
      <c r="G11" s="126">
        <v>0.745</v>
      </c>
      <c r="H11" s="126">
        <v>0.376</v>
      </c>
    </row>
    <row r="12" spans="1:8">
      <c r="A12">
        <v>2012</v>
      </c>
      <c r="B12" s="126">
        <v>0.66299999999999992</v>
      </c>
      <c r="C12" s="126">
        <v>0.65300000000000002</v>
      </c>
      <c r="D12" s="126">
        <v>0.65400000000000003</v>
      </c>
      <c r="E12" s="126">
        <v>0.65200000000000002</v>
      </c>
      <c r="F12" s="126">
        <v>0.56000000000000005</v>
      </c>
      <c r="G12" s="126">
        <v>0.748</v>
      </c>
      <c r="H12" s="126">
        <v>0.41499999999999998</v>
      </c>
    </row>
    <row r="13" spans="1:8">
      <c r="A13">
        <v>2013</v>
      </c>
      <c r="B13" s="126">
        <v>0.65200000000000002</v>
      </c>
      <c r="C13" s="126">
        <v>0.623</v>
      </c>
      <c r="D13" s="126">
        <v>0.65200000000000002</v>
      </c>
      <c r="E13" s="126">
        <v>0.58799999999999997</v>
      </c>
      <c r="F13" s="126">
        <v>0.56299999999999994</v>
      </c>
      <c r="G13" s="126">
        <v>0.75</v>
      </c>
      <c r="H13" s="126">
        <v>0.254</v>
      </c>
    </row>
    <row r="14" spans="1:8">
      <c r="A14">
        <v>2014</v>
      </c>
      <c r="B14" s="126">
        <v>0.66799999999999993</v>
      </c>
      <c r="C14" s="126">
        <v>0.63400000000000001</v>
      </c>
      <c r="D14" s="126">
        <v>0.65900000000000003</v>
      </c>
      <c r="E14" s="126">
        <v>0.45299999999999996</v>
      </c>
      <c r="F14" s="126">
        <v>0.55600000000000005</v>
      </c>
      <c r="G14" s="126">
        <v>0.75800000000000001</v>
      </c>
      <c r="H14" s="126">
        <v>0.247</v>
      </c>
    </row>
    <row r="15" spans="1:8">
      <c r="A15">
        <v>2015</v>
      </c>
      <c r="B15" s="126">
        <v>0.66400000000000003</v>
      </c>
      <c r="C15" s="126">
        <v>0.61399999999999999</v>
      </c>
      <c r="D15" s="126">
        <v>0.66900000000000004</v>
      </c>
      <c r="E15" s="126">
        <v>0.55399999999999994</v>
      </c>
      <c r="F15" s="126">
        <v>0.55700000000000005</v>
      </c>
      <c r="G15" s="126">
        <v>0.76</v>
      </c>
      <c r="H15" s="126">
        <v>0.47799999999999998</v>
      </c>
    </row>
    <row r="16" spans="1:8">
      <c r="A16">
        <v>2016</v>
      </c>
      <c r="B16" s="126">
        <v>0.70599999999999996</v>
      </c>
      <c r="C16" s="126">
        <v>0.627</v>
      </c>
      <c r="D16" s="126">
        <v>0.63900000000000001</v>
      </c>
      <c r="E16" s="126">
        <v>0.61499999999999999</v>
      </c>
      <c r="F16" s="126">
        <v>0.57499999999999996</v>
      </c>
      <c r="G16" s="126">
        <v>0.78099999999999992</v>
      </c>
      <c r="H16" s="126">
        <v>0.124</v>
      </c>
    </row>
    <row r="17" spans="1:8">
      <c r="A17">
        <v>2017</v>
      </c>
      <c r="B17" s="126">
        <v>0.71</v>
      </c>
      <c r="C17" s="126">
        <v>0.67400000000000004</v>
      </c>
      <c r="D17" s="126">
        <v>0.621</v>
      </c>
      <c r="E17" s="126">
        <v>0.62</v>
      </c>
      <c r="F17" s="126">
        <v>0.56600000000000006</v>
      </c>
      <c r="G17" s="126">
        <v>0.8</v>
      </c>
      <c r="H17" s="126">
        <v>0.61299999999999999</v>
      </c>
    </row>
    <row r="18" spans="1:8">
      <c r="A18">
        <v>2018</v>
      </c>
      <c r="B18" s="126">
        <v>0.70700000000000007</v>
      </c>
      <c r="C18" s="126">
        <v>0.63300000000000001</v>
      </c>
      <c r="D18" s="126">
        <v>0.623</v>
      </c>
      <c r="E18" s="126">
        <v>0.57600000000000007</v>
      </c>
      <c r="F18" s="126">
        <v>0.6</v>
      </c>
      <c r="G18" s="126">
        <v>0.77500000000000002</v>
      </c>
      <c r="H18" s="126">
        <v>0.45500000000000002</v>
      </c>
    </row>
    <row r="19" spans="1:8">
      <c r="A19">
        <v>2019</v>
      </c>
      <c r="B19" s="126">
        <v>0.72</v>
      </c>
      <c r="C19" s="126">
        <v>0.64400000000000002</v>
      </c>
      <c r="D19" s="126">
        <v>0.56600000000000006</v>
      </c>
      <c r="E19" s="126">
        <v>0.71599999999999997</v>
      </c>
      <c r="F19" s="126">
        <v>0.60699999999999998</v>
      </c>
      <c r="G19" s="126">
        <v>0.77200000000000002</v>
      </c>
      <c r="H19" s="126">
        <v>0.49700000000000005</v>
      </c>
    </row>
    <row r="20" spans="1:8">
      <c r="A20">
        <v>2020</v>
      </c>
      <c r="B20" s="126">
        <v>0.72499999999999998</v>
      </c>
      <c r="C20" s="126">
        <v>0.67400000000000004</v>
      </c>
      <c r="D20" s="126">
        <v>0.57999999999999996</v>
      </c>
      <c r="E20" s="126">
        <v>0.63800000000000001</v>
      </c>
      <c r="F20" s="126">
        <v>0.60099999999999998</v>
      </c>
      <c r="G20" s="126">
        <v>0.79</v>
      </c>
      <c r="H20" s="126">
        <v>0.48899999999999999</v>
      </c>
    </row>
    <row r="21" spans="1:8">
      <c r="A21">
        <v>2021</v>
      </c>
      <c r="B21" s="126">
        <v>0.72499999999999998</v>
      </c>
      <c r="C21" s="126">
        <v>0.67400000000000004</v>
      </c>
      <c r="D21" s="126">
        <v>0.57999999999999996</v>
      </c>
      <c r="E21" s="126">
        <v>0.63800000000000001</v>
      </c>
      <c r="F21" s="126">
        <v>0.60099999999999998</v>
      </c>
      <c r="G21" s="126">
        <v>0.79</v>
      </c>
      <c r="H21" s="126">
        <v>0.48899999999999999</v>
      </c>
    </row>
    <row r="22" spans="1:8">
      <c r="A22">
        <v>2022</v>
      </c>
      <c r="B22" s="126">
        <v>0.78599999999999992</v>
      </c>
      <c r="C22" s="126">
        <v>0.68900000000000006</v>
      </c>
      <c r="D22" s="126">
        <v>0.62</v>
      </c>
      <c r="E22" s="126">
        <v>0.55299999999999994</v>
      </c>
      <c r="F22" s="126">
        <v>0.68</v>
      </c>
      <c r="G22" s="126">
        <v>0.78299999999999992</v>
      </c>
      <c r="H22" s="126">
        <v>0.52600000000000002</v>
      </c>
    </row>
    <row r="23" spans="1:8">
      <c r="A23">
        <v>2023</v>
      </c>
      <c r="B23" s="126">
        <v>0.8640000000000001</v>
      </c>
      <c r="C23" s="126">
        <v>0.67200000000000004</v>
      </c>
      <c r="D23" s="126">
        <v>0.61499999999999999</v>
      </c>
      <c r="E23" s="126">
        <v>0.65599999999999992</v>
      </c>
      <c r="F23" s="126">
        <v>0.70299999999999996</v>
      </c>
      <c r="G23" s="126">
        <v>0.79900000000000004</v>
      </c>
      <c r="H23" s="126">
        <v>0.61</v>
      </c>
    </row>
    <row r="24" spans="1:8">
      <c r="A24">
        <v>2024</v>
      </c>
      <c r="B24" s="126">
        <v>0.86499999999999999</v>
      </c>
      <c r="C24" s="126">
        <v>0.66400000000000003</v>
      </c>
      <c r="D24" s="126">
        <v>0.55299999999999994</v>
      </c>
      <c r="E24" s="126">
        <v>0.625</v>
      </c>
      <c r="F24" s="126">
        <v>0.69299999999999995</v>
      </c>
      <c r="G24" s="126">
        <v>0.8</v>
      </c>
      <c r="H24" s="126">
        <v>0.56899999999999995</v>
      </c>
    </row>
    <row r="25" spans="1:8">
      <c r="A25" s="2"/>
      <c r="B25" s="25"/>
      <c r="C25" s="25"/>
      <c r="D25" s="25"/>
      <c r="E25" s="25"/>
      <c r="F25" s="25"/>
      <c r="G25" s="25"/>
      <c r="H25" s="25"/>
    </row>
    <row r="26" spans="1:8">
      <c r="B26" s="25"/>
      <c r="C26" s="25"/>
      <c r="D26" s="25"/>
      <c r="E26" s="25"/>
      <c r="F26" s="25"/>
      <c r="G26" s="25"/>
      <c r="H26" s="25"/>
    </row>
    <row r="27" spans="1:8">
      <c r="A27" s="2"/>
      <c r="B27" s="25"/>
      <c r="C27" s="25"/>
      <c r="D27" s="25"/>
      <c r="E27" s="25"/>
      <c r="F27" s="25"/>
      <c r="G27" s="25"/>
      <c r="H27" s="25"/>
    </row>
    <row r="28" spans="1:8">
      <c r="A28" s="2"/>
      <c r="B28" s="25"/>
      <c r="C28" s="25"/>
      <c r="D28" s="25"/>
      <c r="E28" s="25"/>
      <c r="F28" s="25"/>
      <c r="G28" s="25"/>
      <c r="H28" s="25"/>
    </row>
    <row r="29" spans="1:8">
      <c r="A29" s="2"/>
      <c r="B29" s="25"/>
      <c r="C29" s="25"/>
      <c r="D29" s="25"/>
      <c r="E29" s="25"/>
      <c r="F29" s="25"/>
      <c r="G29" s="25"/>
      <c r="H29" s="25"/>
    </row>
    <row r="30" spans="1:8">
      <c r="A30" s="2"/>
      <c r="B30" s="25"/>
      <c r="C30" s="25"/>
      <c r="D30" s="25"/>
      <c r="E30" s="25"/>
      <c r="F30" s="25"/>
      <c r="G30" s="25"/>
      <c r="H30" s="25"/>
    </row>
    <row r="31" spans="1:8">
      <c r="A31" s="2"/>
      <c r="B31" s="25"/>
      <c r="C31" s="25"/>
      <c r="D31" s="25"/>
      <c r="E31" s="25"/>
      <c r="F31" s="25"/>
      <c r="G31" s="25"/>
      <c r="H31" s="25"/>
    </row>
    <row r="32" spans="1:8">
      <c r="A32" s="2"/>
      <c r="B32" s="25"/>
      <c r="C32" s="25"/>
      <c r="D32" s="25"/>
      <c r="E32" s="25"/>
      <c r="F32" s="25"/>
      <c r="G32" s="25"/>
      <c r="H32" s="25"/>
    </row>
    <row r="33" spans="1:8">
      <c r="A33" s="2"/>
      <c r="B33" s="25"/>
      <c r="C33" s="25"/>
      <c r="D33" s="25"/>
      <c r="E33" s="25"/>
      <c r="F33" s="25"/>
      <c r="G33" s="25"/>
      <c r="H33" s="25"/>
    </row>
    <row r="34" spans="1:8">
      <c r="B34" s="25"/>
      <c r="C34" s="25"/>
      <c r="D34" s="25"/>
      <c r="E34" s="25"/>
      <c r="F34" s="25"/>
      <c r="G34" s="25"/>
      <c r="H34" s="25"/>
    </row>
    <row r="35" spans="1:8">
      <c r="B35" s="25"/>
      <c r="C35" s="25"/>
      <c r="D35" s="25"/>
      <c r="E35" s="25"/>
      <c r="F35" s="25"/>
      <c r="G35" s="25"/>
      <c r="H35" s="25"/>
    </row>
    <row r="36" spans="1:8">
      <c r="B36" s="25"/>
      <c r="C36" s="25"/>
      <c r="D36" s="25"/>
      <c r="E36" s="25"/>
      <c r="F36" s="25"/>
      <c r="G36" s="25"/>
      <c r="H36" s="25"/>
    </row>
    <row r="37" spans="1:8">
      <c r="B37" s="25"/>
      <c r="C37" s="25"/>
      <c r="D37" s="25"/>
      <c r="E37" s="25"/>
      <c r="F37" s="25"/>
      <c r="G37" s="25"/>
      <c r="H37" s="25"/>
    </row>
    <row r="38" spans="1:8">
      <c r="B38" s="25"/>
      <c r="C38" s="25"/>
      <c r="D38" s="25"/>
      <c r="E38" s="25"/>
      <c r="F38" s="25"/>
      <c r="G38" s="25"/>
      <c r="H38" s="25"/>
    </row>
    <row r="39" spans="1:8">
      <c r="B39" s="25"/>
      <c r="C39" s="25"/>
      <c r="D39" s="25"/>
      <c r="E39" s="25"/>
      <c r="F39" s="25"/>
      <c r="G39" s="25"/>
      <c r="H39" s="25"/>
    </row>
    <row r="40" spans="1:8">
      <c r="B40" s="25"/>
      <c r="C40" s="25"/>
      <c r="D40" s="25"/>
      <c r="E40" s="25"/>
      <c r="F40" s="25"/>
      <c r="G40" s="25"/>
      <c r="H40" s="25"/>
    </row>
    <row r="41" spans="1:8">
      <c r="B41" s="25"/>
      <c r="C41" s="25"/>
      <c r="D41" s="25"/>
      <c r="E41" s="25"/>
      <c r="F41" s="25"/>
      <c r="G41" s="25"/>
      <c r="H41" s="25"/>
    </row>
    <row r="42" spans="1:8">
      <c r="B42" s="25"/>
      <c r="C42" s="25"/>
      <c r="D42" s="25"/>
      <c r="E42" s="25"/>
      <c r="F42" s="25"/>
      <c r="G42" s="25"/>
      <c r="H42" s="25"/>
    </row>
    <row r="43" spans="1:8">
      <c r="B43" s="25"/>
      <c r="C43" s="25"/>
      <c r="D43" s="25"/>
      <c r="E43" s="25"/>
      <c r="F43" s="25"/>
      <c r="G43" s="25"/>
      <c r="H43" s="25"/>
    </row>
    <row r="44" spans="1:8">
      <c r="B44" s="25"/>
      <c r="C44" s="25"/>
      <c r="D44" s="25"/>
      <c r="E44" s="25"/>
      <c r="F44" s="25"/>
      <c r="G44" s="25"/>
      <c r="H44" s="25"/>
    </row>
    <row r="45" spans="1:8">
      <c r="B45" s="25"/>
      <c r="C45" s="25"/>
      <c r="D45" s="25"/>
      <c r="E45" s="25"/>
      <c r="F45" s="25"/>
      <c r="G45" s="25"/>
      <c r="H45" s="25"/>
    </row>
    <row r="46" spans="1:8">
      <c r="B46" s="25"/>
      <c r="C46" s="25"/>
      <c r="D46" s="25"/>
      <c r="E46" s="25"/>
      <c r="F46" s="25"/>
      <c r="G46" s="25"/>
      <c r="H46" s="25"/>
    </row>
    <row r="47" spans="1:8">
      <c r="B47" s="25"/>
      <c r="C47" s="25"/>
      <c r="D47" s="25"/>
      <c r="E47" s="25"/>
      <c r="F47" s="25"/>
      <c r="G47" s="25"/>
      <c r="H47" s="25"/>
    </row>
    <row r="48" spans="1:8">
      <c r="B48" s="25"/>
      <c r="C48" s="25"/>
      <c r="D48" s="25"/>
      <c r="E48" s="25"/>
      <c r="F48" s="25"/>
      <c r="G48" s="25"/>
      <c r="H48" s="25"/>
    </row>
    <row r="49" spans="2:8">
      <c r="B49" s="3"/>
      <c r="C49" s="3"/>
      <c r="D49" s="3"/>
      <c r="E49" s="3"/>
      <c r="F49" s="3"/>
      <c r="G49" s="3"/>
      <c r="H49" s="3"/>
    </row>
    <row r="50" spans="2:8">
      <c r="B50" s="3"/>
      <c r="C50" s="3"/>
      <c r="D50" s="3"/>
      <c r="E50" s="3"/>
      <c r="F50" s="3"/>
      <c r="G50" s="3"/>
      <c r="H50" s="3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28FC-D1FE-5347-8DB5-F34B5CE22BB8}">
  <sheetPr codeName="Sheet107"/>
  <dimension ref="A1:F11"/>
  <sheetViews>
    <sheetView zoomScale="119" workbookViewId="0">
      <selection activeCell="F1" sqref="F1"/>
    </sheetView>
  </sheetViews>
  <sheetFormatPr baseColWidth="10" defaultRowHeight="15"/>
  <sheetData>
    <row r="1" spans="1:6">
      <c r="A1" t="s">
        <v>0</v>
      </c>
      <c r="B1" s="32" t="s">
        <v>482</v>
      </c>
      <c r="C1" s="32" t="s">
        <v>483</v>
      </c>
      <c r="F1" s="32"/>
    </row>
    <row r="2" spans="1:6">
      <c r="A2" s="33">
        <v>2001</v>
      </c>
      <c r="B2" s="34">
        <v>0.57999999999999996</v>
      </c>
      <c r="C2" s="35">
        <v>0.55500000000000005</v>
      </c>
    </row>
    <row r="3" spans="1:6">
      <c r="A3" s="33">
        <v>2003</v>
      </c>
      <c r="B3" s="35">
        <v>0.63700000000000001</v>
      </c>
      <c r="C3" s="35">
        <v>0.54300000000000004</v>
      </c>
    </row>
    <row r="4" spans="1:6">
      <c r="A4" s="33">
        <v>2005</v>
      </c>
      <c r="B4" s="35">
        <v>0.66900000000000004</v>
      </c>
      <c r="C4" s="35">
        <v>0.51400000000000001</v>
      </c>
    </row>
    <row r="5" spans="1:6">
      <c r="A5" s="33">
        <v>2007</v>
      </c>
      <c r="B5" s="35">
        <v>0.626</v>
      </c>
      <c r="C5" s="35">
        <v>0.60899999999999999</v>
      </c>
    </row>
    <row r="6" spans="1:6">
      <c r="A6" s="33">
        <v>2009</v>
      </c>
      <c r="B6" s="35">
        <v>0.61599999999999999</v>
      </c>
      <c r="C6" s="35">
        <v>0.61399999999999999</v>
      </c>
    </row>
    <row r="7" spans="1:6">
      <c r="A7" s="33">
        <v>2011</v>
      </c>
      <c r="B7" s="35">
        <v>0.66400000000000003</v>
      </c>
      <c r="C7" s="35">
        <v>0.61799999999999999</v>
      </c>
    </row>
    <row r="8" spans="1:6">
      <c r="A8" s="33">
        <v>2013</v>
      </c>
      <c r="B8" s="34">
        <v>0.7</v>
      </c>
      <c r="C8" s="34">
        <v>0.62</v>
      </c>
    </row>
    <row r="9" spans="1:6">
      <c r="A9" s="33">
        <v>2015</v>
      </c>
      <c r="B9" s="34">
        <v>0.7</v>
      </c>
      <c r="C9" s="34">
        <v>0.7</v>
      </c>
    </row>
    <row r="10" spans="1:6">
      <c r="A10" s="33">
        <v>2017</v>
      </c>
      <c r="B10" s="34">
        <v>0.71</v>
      </c>
      <c r="C10" s="34">
        <v>0.72</v>
      </c>
    </row>
    <row r="11" spans="1:6">
      <c r="A11" s="33">
        <v>2021</v>
      </c>
      <c r="B11" s="35">
        <v>0.70799999999999996</v>
      </c>
      <c r="C11" s="35">
        <v>0.64700000000000002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M12"/>
  <sheetViews>
    <sheetView workbookViewId="0">
      <selection activeCell="D9" sqref="D9"/>
    </sheetView>
  </sheetViews>
  <sheetFormatPr baseColWidth="10" defaultColWidth="8.83203125" defaultRowHeight="15"/>
  <sheetData>
    <row r="1" spans="1:13">
      <c r="A1" s="7" t="s">
        <v>0</v>
      </c>
      <c r="B1" s="127" t="s">
        <v>380</v>
      </c>
      <c r="C1" s="127" t="s">
        <v>381</v>
      </c>
      <c r="D1" s="127" t="s">
        <v>382</v>
      </c>
      <c r="E1" s="127" t="s">
        <v>355</v>
      </c>
      <c r="F1" s="127" t="s">
        <v>384</v>
      </c>
      <c r="G1" s="127" t="s">
        <v>385</v>
      </c>
      <c r="H1" s="127" t="s">
        <v>386</v>
      </c>
      <c r="I1" s="127" t="s">
        <v>407</v>
      </c>
      <c r="J1" s="127" t="s">
        <v>387</v>
      </c>
      <c r="K1" s="127" t="s">
        <v>357</v>
      </c>
      <c r="L1" s="127" t="s">
        <v>388</v>
      </c>
      <c r="M1" s="127" t="s">
        <v>562</v>
      </c>
    </row>
    <row r="2" spans="1:13">
      <c r="A2" s="7">
        <v>2021</v>
      </c>
      <c r="B2" s="11">
        <v>0.74650000000000005</v>
      </c>
      <c r="C2" s="11">
        <v>0.84440000000000004</v>
      </c>
      <c r="D2" s="11">
        <v>0.87419999999999998</v>
      </c>
      <c r="E2" s="11">
        <v>0.85160000000000002</v>
      </c>
      <c r="F2" s="11">
        <v>0.74450000000000005</v>
      </c>
      <c r="G2" s="11">
        <v>0.72219999999999995</v>
      </c>
      <c r="H2" s="11">
        <v>0.74750000000000005</v>
      </c>
      <c r="I2" s="11">
        <v>0.84099999999999997</v>
      </c>
      <c r="J2" s="11">
        <v>0.81889999999999996</v>
      </c>
      <c r="K2" s="11">
        <v>0.76100000000000001</v>
      </c>
      <c r="L2" s="11">
        <v>0.53490000000000004</v>
      </c>
      <c r="M2" s="11">
        <v>0.58189999999999997</v>
      </c>
    </row>
    <row r="3" spans="1:13">
      <c r="A3" s="7">
        <v>2022</v>
      </c>
      <c r="B3" s="11">
        <v>0.75380000000000003</v>
      </c>
      <c r="C3" s="11">
        <v>0.8659</v>
      </c>
      <c r="D3" s="11">
        <v>0.88370000000000004</v>
      </c>
      <c r="E3" s="11">
        <v>0.874</v>
      </c>
      <c r="F3" s="11">
        <v>0.81130000000000002</v>
      </c>
      <c r="G3" s="11">
        <v>0.7319</v>
      </c>
      <c r="H3" s="11">
        <v>0.80810000000000004</v>
      </c>
      <c r="I3" s="11">
        <v>0.84489999999999998</v>
      </c>
      <c r="J3" s="11">
        <v>0.85550000000000004</v>
      </c>
      <c r="K3" s="11">
        <v>0.77059999999999995</v>
      </c>
      <c r="L3" s="11">
        <v>0.64749999999999996</v>
      </c>
      <c r="M3" s="11">
        <v>0.64329999999999998</v>
      </c>
    </row>
    <row r="4" spans="1:13">
      <c r="A4" s="7">
        <v>2023</v>
      </c>
      <c r="B4" s="11">
        <v>0.87029999999999996</v>
      </c>
      <c r="C4" s="11">
        <v>0.89949999999999997</v>
      </c>
      <c r="D4" s="11">
        <v>0.88470000000000004</v>
      </c>
      <c r="E4" s="11">
        <v>0.89029999999999998</v>
      </c>
      <c r="F4" s="11">
        <v>0.83330000000000004</v>
      </c>
      <c r="G4" s="11">
        <v>0.72870000000000001</v>
      </c>
      <c r="H4" s="11">
        <v>0.83120000000000005</v>
      </c>
      <c r="I4" s="11">
        <v>0.88549999999999995</v>
      </c>
      <c r="J4" s="11">
        <v>0.86219999999999997</v>
      </c>
      <c r="K4" s="11">
        <v>0.81940000000000002</v>
      </c>
      <c r="L4" s="11">
        <v>0.64080000000000004</v>
      </c>
      <c r="M4" s="11">
        <v>0.69199999999999995</v>
      </c>
    </row>
    <row r="5" spans="1:13">
      <c r="A5" s="7">
        <v>2024</v>
      </c>
      <c r="B5" s="11">
        <v>0.80869999999999997</v>
      </c>
      <c r="C5" s="11">
        <v>0.90590000000000004</v>
      </c>
      <c r="D5" s="11">
        <v>0.8982</v>
      </c>
      <c r="E5" s="11">
        <v>0.89459999999999995</v>
      </c>
      <c r="F5" s="11">
        <v>0.81710000000000005</v>
      </c>
      <c r="G5" s="11">
        <v>0.74509999999999998</v>
      </c>
      <c r="H5" s="11">
        <v>0.81689999999999996</v>
      </c>
      <c r="I5" s="11">
        <v>0.85419999999999996</v>
      </c>
      <c r="J5" s="11">
        <v>0.87250000000000005</v>
      </c>
      <c r="K5" s="11">
        <v>0.76439999999999997</v>
      </c>
      <c r="L5" s="11">
        <v>0.65659999999999996</v>
      </c>
      <c r="M5" s="11">
        <v>0.69289999999999996</v>
      </c>
    </row>
    <row r="6" spans="1:13">
      <c r="B6" s="127"/>
      <c r="C6" s="11"/>
      <c r="D6" s="11"/>
      <c r="E6" s="11"/>
      <c r="F6" s="11"/>
    </row>
    <row r="7" spans="1:13">
      <c r="B7" s="127"/>
      <c r="C7" s="11"/>
      <c r="D7" s="11"/>
      <c r="E7" s="11"/>
      <c r="F7" s="11"/>
    </row>
    <row r="8" spans="1:13">
      <c r="B8" s="127"/>
      <c r="C8" s="11"/>
      <c r="D8" s="11"/>
      <c r="E8" s="11"/>
      <c r="F8" s="11"/>
    </row>
    <row r="9" spans="1:13">
      <c r="B9" s="127"/>
      <c r="C9" s="11"/>
      <c r="D9" s="11"/>
      <c r="E9" s="11"/>
      <c r="F9" s="11"/>
    </row>
    <row r="10" spans="1:13">
      <c r="B10" s="127"/>
      <c r="C10" s="11"/>
      <c r="D10" s="11"/>
      <c r="E10" s="11"/>
      <c r="F10" s="11"/>
    </row>
    <row r="11" spans="1:13">
      <c r="B11" s="127"/>
      <c r="C11" s="11"/>
      <c r="D11" s="11"/>
      <c r="E11" s="11"/>
      <c r="F11" s="11"/>
    </row>
    <row r="12" spans="1:13">
      <c r="B12" s="127"/>
      <c r="C12" s="11"/>
      <c r="D12" s="11"/>
      <c r="E12" s="11"/>
      <c r="F12" s="11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F41"/>
  <sheetViews>
    <sheetView zoomScaleNormal="100" workbookViewId="0">
      <selection activeCell="B17" sqref="B17"/>
    </sheetView>
  </sheetViews>
  <sheetFormatPr baseColWidth="10" defaultColWidth="8.83203125" defaultRowHeight="15"/>
  <sheetData>
    <row r="1" spans="1:6">
      <c r="A1" t="s">
        <v>0</v>
      </c>
      <c r="B1" t="s">
        <v>563</v>
      </c>
      <c r="C1" t="s">
        <v>409</v>
      </c>
      <c r="D1" t="s">
        <v>564</v>
      </c>
      <c r="E1" t="s">
        <v>565</v>
      </c>
      <c r="F1" t="s">
        <v>566</v>
      </c>
    </row>
    <row r="2" spans="1:6">
      <c r="A2">
        <v>1990</v>
      </c>
      <c r="B2" s="128">
        <v>0.54</v>
      </c>
      <c r="C2" s="128">
        <v>2.5000000000000001E-2</v>
      </c>
      <c r="D2" s="128">
        <v>0.38100000000000001</v>
      </c>
      <c r="E2" s="128">
        <v>2.1000000000000001E-2</v>
      </c>
      <c r="F2" s="26">
        <v>3.3000000000000002E-2</v>
      </c>
    </row>
    <row r="3" spans="1:6">
      <c r="A3">
        <v>1991</v>
      </c>
      <c r="B3" s="128">
        <v>0.54600000000000004</v>
      </c>
      <c r="C3" s="128">
        <v>1.9E-2</v>
      </c>
      <c r="D3" s="128">
        <v>0.38</v>
      </c>
      <c r="E3" s="128">
        <v>2.9000000000000001E-2</v>
      </c>
      <c r="F3" s="26">
        <v>2.5000000000000001E-2</v>
      </c>
    </row>
    <row r="4" spans="1:6">
      <c r="A4">
        <v>1992</v>
      </c>
      <c r="B4" s="128">
        <v>0.53400000000000003</v>
      </c>
      <c r="C4" s="128">
        <v>2.1000000000000001E-2</v>
      </c>
      <c r="D4" s="128">
        <v>0.39</v>
      </c>
      <c r="E4" s="128">
        <v>2.5000000000000001E-2</v>
      </c>
      <c r="F4" s="26">
        <v>0.03</v>
      </c>
    </row>
    <row r="5" spans="1:6">
      <c r="A5">
        <v>1993</v>
      </c>
      <c r="B5" s="128">
        <v>0.52300000000000002</v>
      </c>
      <c r="C5" s="128">
        <v>2.3E-2</v>
      </c>
      <c r="D5" s="128">
        <v>0.38800000000000001</v>
      </c>
      <c r="E5" s="128">
        <v>2.1000000000000001E-2</v>
      </c>
      <c r="F5" s="26">
        <v>4.3999999999999997E-2</v>
      </c>
    </row>
    <row r="6" spans="1:6">
      <c r="A6">
        <v>1994</v>
      </c>
      <c r="B6" s="128">
        <v>0.48</v>
      </c>
      <c r="C6" s="128">
        <v>0.02</v>
      </c>
      <c r="D6" s="128">
        <v>0.41799999999999998</v>
      </c>
      <c r="E6" s="128">
        <v>3.3000000000000002E-2</v>
      </c>
      <c r="F6" s="26">
        <v>4.9000000000000002E-2</v>
      </c>
    </row>
    <row r="7" spans="1:6">
      <c r="A7">
        <v>1995</v>
      </c>
      <c r="B7" s="128">
        <v>0.45800000000000002</v>
      </c>
      <c r="C7" s="128">
        <v>1.7999999999999999E-2</v>
      </c>
      <c r="D7" s="128">
        <v>0.45600000000000002</v>
      </c>
      <c r="E7" s="128">
        <v>2.5999999999999999E-2</v>
      </c>
      <c r="F7" s="26">
        <v>4.2000000000000003E-2</v>
      </c>
    </row>
    <row r="8" spans="1:6">
      <c r="A8">
        <v>1996</v>
      </c>
      <c r="B8" s="128">
        <v>0.34100000000000003</v>
      </c>
      <c r="C8" s="128">
        <v>1.6E-2</v>
      </c>
      <c r="D8" s="128">
        <v>0.59499999999999997</v>
      </c>
      <c r="E8" s="128">
        <v>2.1999999999999999E-2</v>
      </c>
      <c r="F8" s="26">
        <v>2.5999999999999999E-2</v>
      </c>
    </row>
    <row r="9" spans="1:6">
      <c r="A9" s="1">
        <v>1997</v>
      </c>
      <c r="B9" s="103">
        <v>0.29099999999999998</v>
      </c>
      <c r="C9" s="103">
        <v>1.7000000000000001E-2</v>
      </c>
      <c r="D9" s="26">
        <v>0.61899999999999999</v>
      </c>
      <c r="E9" s="26">
        <v>2.3E-2</v>
      </c>
      <c r="F9" s="26">
        <v>5.0999999999999997E-2</v>
      </c>
    </row>
    <row r="10" spans="1:6">
      <c r="A10">
        <v>1998</v>
      </c>
      <c r="B10" s="103">
        <v>0.28899999999999998</v>
      </c>
      <c r="C10" s="103">
        <v>1.6E-2</v>
      </c>
      <c r="D10" s="26">
        <v>0.63800000000000001</v>
      </c>
      <c r="E10" s="26">
        <v>2.1000000000000001E-2</v>
      </c>
      <c r="F10" s="26">
        <v>3.5999999999999997E-2</v>
      </c>
    </row>
    <row r="11" spans="1:6">
      <c r="A11" s="1">
        <v>1999</v>
      </c>
      <c r="B11" s="103">
        <v>0.34300000000000003</v>
      </c>
      <c r="C11" s="103">
        <v>1.4999999999999999E-2</v>
      </c>
      <c r="D11" s="26">
        <v>0.59699999999999998</v>
      </c>
      <c r="E11" s="26">
        <v>2.3E-2</v>
      </c>
      <c r="F11" s="26">
        <v>2.1999999999999999E-2</v>
      </c>
    </row>
    <row r="12" spans="1:6">
      <c r="A12">
        <v>1999</v>
      </c>
      <c r="B12" s="26">
        <v>0.34300000000000003</v>
      </c>
      <c r="C12" s="26">
        <v>1.4999999999999999E-2</v>
      </c>
      <c r="D12" s="26">
        <v>0.59699999999999998</v>
      </c>
      <c r="E12" s="26">
        <v>2.3E-2</v>
      </c>
      <c r="F12" s="26">
        <v>2.1999999999999999E-2</v>
      </c>
    </row>
    <row r="13" spans="1:6">
      <c r="A13">
        <v>2000</v>
      </c>
      <c r="B13" s="26">
        <v>0.33600000000000002</v>
      </c>
      <c r="C13" s="26">
        <v>1.7999999999999999E-2</v>
      </c>
      <c r="D13" s="26">
        <v>0.58399999999999996</v>
      </c>
      <c r="E13" s="26">
        <v>2.5000000000000001E-2</v>
      </c>
      <c r="F13" s="26">
        <v>3.5999999999999997E-2</v>
      </c>
    </row>
    <row r="14" spans="1:6">
      <c r="A14">
        <v>2001</v>
      </c>
      <c r="B14" s="26">
        <v>0.30299999999999999</v>
      </c>
      <c r="C14" s="26">
        <v>1.7000000000000001E-2</v>
      </c>
      <c r="D14" s="26">
        <v>0.63800000000000001</v>
      </c>
      <c r="E14" s="26">
        <v>2.3E-2</v>
      </c>
      <c r="F14" s="26">
        <v>1.9E-2</v>
      </c>
    </row>
    <row r="15" spans="1:6">
      <c r="A15">
        <v>2002</v>
      </c>
      <c r="B15" s="26">
        <v>0.40699999999999997</v>
      </c>
      <c r="C15" s="26">
        <v>0.02</v>
      </c>
      <c r="D15" s="26">
        <v>0.52700000000000002</v>
      </c>
      <c r="E15" s="26">
        <v>2.5999999999999999E-2</v>
      </c>
      <c r="F15" s="26">
        <v>0.02</v>
      </c>
    </row>
    <row r="16" spans="1:6">
      <c r="A16">
        <v>2003</v>
      </c>
      <c r="B16" s="26">
        <v>0.51100000000000001</v>
      </c>
      <c r="C16" s="26">
        <v>1.6E-2</v>
      </c>
      <c r="D16" s="26">
        <v>0.42399999999999999</v>
      </c>
      <c r="E16" s="26">
        <v>2.7E-2</v>
      </c>
      <c r="F16" s="26">
        <v>2.1999999999999999E-2</v>
      </c>
    </row>
    <row r="17" spans="1:6">
      <c r="A17">
        <v>2004</v>
      </c>
      <c r="B17" s="26">
        <v>0.51800000000000002</v>
      </c>
      <c r="C17" s="26">
        <v>0.02</v>
      </c>
      <c r="D17" s="26">
        <v>0.39900000000000002</v>
      </c>
      <c r="E17" s="26">
        <v>3.5000000000000003E-2</v>
      </c>
      <c r="F17" s="26">
        <v>2.8000000000000001E-2</v>
      </c>
    </row>
    <row r="18" spans="1:6">
      <c r="A18">
        <v>2004</v>
      </c>
      <c r="B18" s="26">
        <v>0.51800000000000002</v>
      </c>
      <c r="C18" s="26">
        <v>0.02</v>
      </c>
      <c r="D18" s="26">
        <v>0.39900000000000002</v>
      </c>
      <c r="E18" s="26">
        <v>3.5000000000000003E-2</v>
      </c>
      <c r="F18" s="26">
        <v>2.8000000000000001E-2</v>
      </c>
    </row>
    <row r="19" spans="1:6">
      <c r="A19">
        <v>2005</v>
      </c>
      <c r="B19" s="26">
        <v>0.45700000000000002</v>
      </c>
      <c r="C19" s="26">
        <v>1.4999999999999999E-2</v>
      </c>
      <c r="D19" s="26">
        <v>0.48499999999999999</v>
      </c>
      <c r="E19" s="26">
        <v>2.1999999999999999E-2</v>
      </c>
      <c r="F19" s="26">
        <v>2.1000000000000001E-2</v>
      </c>
    </row>
    <row r="20" spans="1:6">
      <c r="A20">
        <v>2006</v>
      </c>
      <c r="B20" s="26">
        <v>0.38300000000000001</v>
      </c>
      <c r="C20" s="26">
        <v>1.2E-2</v>
      </c>
      <c r="D20" s="26">
        <v>0.52900000000000003</v>
      </c>
      <c r="E20" s="26">
        <v>2.1000000000000001E-2</v>
      </c>
      <c r="F20" s="26">
        <v>5.5E-2</v>
      </c>
    </row>
    <row r="21" spans="1:6">
      <c r="A21">
        <v>2007</v>
      </c>
      <c r="B21" s="26">
        <v>0.371</v>
      </c>
      <c r="C21" s="26">
        <v>1.6E-2</v>
      </c>
      <c r="D21" s="26">
        <v>0.55800000000000005</v>
      </c>
      <c r="E21" s="26">
        <v>2.4E-2</v>
      </c>
      <c r="F21" s="26">
        <v>3.1E-2</v>
      </c>
    </row>
    <row r="22" spans="1:6">
      <c r="A22">
        <v>2008</v>
      </c>
      <c r="B22" s="26">
        <v>0.378</v>
      </c>
      <c r="C22" s="26">
        <v>1.4999999999999999E-2</v>
      </c>
      <c r="D22" s="26">
        <v>0.55800000000000005</v>
      </c>
      <c r="E22" s="26">
        <v>2.4E-2</v>
      </c>
      <c r="F22" s="26">
        <v>2.5000000000000001E-2</v>
      </c>
    </row>
    <row r="23" spans="1:6">
      <c r="A23">
        <v>2009</v>
      </c>
      <c r="B23" s="26">
        <v>0.40899999999999997</v>
      </c>
      <c r="C23" s="26">
        <v>1.4999999999999999E-2</v>
      </c>
      <c r="D23" s="26">
        <v>0.52900000000000003</v>
      </c>
      <c r="E23" s="26">
        <v>2.3E-2</v>
      </c>
      <c r="F23" s="26">
        <v>2.5000000000000001E-2</v>
      </c>
    </row>
    <row r="24" spans="1:6">
      <c r="A24">
        <v>2009</v>
      </c>
      <c r="B24" s="26">
        <v>0.40899999999999997</v>
      </c>
      <c r="C24" s="26">
        <v>1.4999999999999999E-2</v>
      </c>
      <c r="D24" s="26">
        <v>0.52900000000000003</v>
      </c>
      <c r="E24" s="26">
        <v>2.3E-2</v>
      </c>
      <c r="F24" s="26">
        <v>2.5000000000000001E-2</v>
      </c>
    </row>
    <row r="25" spans="1:6">
      <c r="A25">
        <v>2010</v>
      </c>
      <c r="B25" s="26">
        <v>0.438</v>
      </c>
      <c r="C25" s="26">
        <v>2.4E-2</v>
      </c>
      <c r="D25" s="26">
        <v>0.47399999999999998</v>
      </c>
      <c r="E25" s="26">
        <v>0.03</v>
      </c>
      <c r="F25" s="26">
        <v>3.3000000000000002E-2</v>
      </c>
    </row>
    <row r="26" spans="1:6">
      <c r="A26">
        <v>2011</v>
      </c>
      <c r="B26" s="26">
        <v>0.36799999999999999</v>
      </c>
      <c r="C26" s="26">
        <v>0.02</v>
      </c>
      <c r="D26" s="26">
        <v>0.56699999999999995</v>
      </c>
      <c r="E26" s="26">
        <v>2.7E-2</v>
      </c>
      <c r="F26" s="26">
        <v>1.9E-2</v>
      </c>
    </row>
    <row r="27" spans="1:6">
      <c r="A27">
        <v>2012</v>
      </c>
      <c r="B27" s="26">
        <v>0.35099999999999998</v>
      </c>
      <c r="C27" s="26">
        <v>1.7000000000000001E-2</v>
      </c>
      <c r="D27" s="26">
        <v>0.58199999999999996</v>
      </c>
      <c r="E27" s="26">
        <v>2.5000000000000001E-2</v>
      </c>
      <c r="F27" s="26">
        <v>2.5000000000000001E-2</v>
      </c>
    </row>
    <row r="28" spans="1:6">
      <c r="A28">
        <v>2013</v>
      </c>
      <c r="B28" s="26">
        <v>0.34799999999999998</v>
      </c>
      <c r="C28" s="26">
        <v>1.4E-2</v>
      </c>
      <c r="D28" s="26">
        <v>0.60099999999999998</v>
      </c>
      <c r="E28" s="26">
        <v>2.5000000000000001E-2</v>
      </c>
      <c r="F28" s="26">
        <v>1.2999999999999999E-2</v>
      </c>
    </row>
    <row r="29" spans="1:6">
      <c r="A29">
        <v>2014</v>
      </c>
      <c r="B29" s="26">
        <v>0.33400000000000002</v>
      </c>
      <c r="C29" s="26">
        <v>1.7999999999999999E-2</v>
      </c>
      <c r="D29" s="26">
        <v>0.61899999999999999</v>
      </c>
      <c r="E29" s="26">
        <v>0.02</v>
      </c>
      <c r="F29" s="26">
        <v>8.9999999999999993E-3</v>
      </c>
    </row>
    <row r="30" spans="1:6">
      <c r="A30">
        <v>2014</v>
      </c>
      <c r="B30" s="26">
        <v>0.33400000000000002</v>
      </c>
      <c r="C30" s="26">
        <v>1.7999999999999999E-2</v>
      </c>
      <c r="D30" s="26">
        <v>0.61899999999999999</v>
      </c>
      <c r="E30" s="26">
        <v>0.02</v>
      </c>
      <c r="F30" s="26">
        <v>8.9999999999999993E-3</v>
      </c>
    </row>
    <row r="31" spans="1:6">
      <c r="A31">
        <v>2015</v>
      </c>
      <c r="B31" s="26">
        <v>0.32500000000000001</v>
      </c>
      <c r="C31" s="26">
        <v>1.7000000000000001E-2</v>
      </c>
      <c r="D31" s="26">
        <v>0.624</v>
      </c>
      <c r="E31" s="26">
        <v>2.5000000000000001E-2</v>
      </c>
      <c r="F31" s="26">
        <v>0.01</v>
      </c>
    </row>
    <row r="32" spans="1:6">
      <c r="A32">
        <v>2016</v>
      </c>
      <c r="B32" s="26">
        <v>0.315</v>
      </c>
      <c r="C32" s="26">
        <v>1.6E-2</v>
      </c>
      <c r="D32" s="26">
        <v>0.621</v>
      </c>
      <c r="E32" s="26">
        <v>2.5000000000000001E-2</v>
      </c>
      <c r="F32" s="26">
        <v>2.3E-2</v>
      </c>
    </row>
    <row r="33" spans="1:6">
      <c r="A33">
        <v>2017</v>
      </c>
      <c r="B33" s="26">
        <v>0.32200000000000001</v>
      </c>
      <c r="C33" s="26">
        <v>8.9999999999999993E-3</v>
      </c>
      <c r="D33" s="26">
        <v>0.622</v>
      </c>
      <c r="E33" s="26">
        <v>3.4000000000000002E-2</v>
      </c>
      <c r="F33" s="26">
        <v>1.2999999999999999E-2</v>
      </c>
    </row>
    <row r="34" spans="1:6">
      <c r="A34">
        <v>2018</v>
      </c>
      <c r="B34" s="26">
        <v>0.30199999999999999</v>
      </c>
      <c r="C34" s="26">
        <v>1.2E-2</v>
      </c>
      <c r="D34" s="26">
        <v>0.63800000000000001</v>
      </c>
      <c r="E34" s="26">
        <v>0.03</v>
      </c>
      <c r="F34" s="26">
        <v>1.6E-2</v>
      </c>
    </row>
    <row r="35" spans="1:6">
      <c r="A35">
        <v>2019</v>
      </c>
      <c r="B35" s="26">
        <v>0.30299999999999999</v>
      </c>
      <c r="C35" s="26">
        <v>1.2E-2</v>
      </c>
      <c r="D35" s="26">
        <v>0.63800000000000001</v>
      </c>
      <c r="E35" s="26">
        <v>2.8000000000000001E-2</v>
      </c>
      <c r="F35" s="26">
        <v>1.9E-2</v>
      </c>
    </row>
    <row r="36" spans="1:6">
      <c r="A36">
        <v>2019</v>
      </c>
      <c r="B36" s="26">
        <v>0.30399999999999999</v>
      </c>
      <c r="C36" s="26">
        <v>1.2E-2</v>
      </c>
      <c r="D36" s="26">
        <v>0.63800000000000001</v>
      </c>
      <c r="E36" s="26">
        <v>2.8000000000000001E-2</v>
      </c>
      <c r="F36" s="26">
        <v>1.9E-2</v>
      </c>
    </row>
    <row r="37" spans="1:6">
      <c r="A37">
        <v>2020</v>
      </c>
      <c r="B37" s="26">
        <v>0.28199999999999997</v>
      </c>
      <c r="C37" s="26">
        <v>1.4999999999999999E-2</v>
      </c>
      <c r="D37" s="26">
        <v>0.66900000000000004</v>
      </c>
      <c r="E37" s="26">
        <v>2.5000000000000001E-2</v>
      </c>
      <c r="F37" s="26">
        <v>0.01</v>
      </c>
    </row>
    <row r="38" spans="1:6">
      <c r="A38">
        <v>2021</v>
      </c>
      <c r="B38" s="26">
        <v>0.248</v>
      </c>
      <c r="C38" s="26">
        <v>1.6E-2</v>
      </c>
      <c r="D38" s="26">
        <v>0.69399999999999995</v>
      </c>
      <c r="E38" s="26">
        <v>2.7E-2</v>
      </c>
      <c r="F38" s="26">
        <v>1.6E-2</v>
      </c>
    </row>
    <row r="39" spans="1:6">
      <c r="A39">
        <v>2022</v>
      </c>
      <c r="B39" s="26">
        <v>0.216</v>
      </c>
      <c r="C39" s="26">
        <v>1.0999999999999999E-2</v>
      </c>
      <c r="D39" s="26">
        <v>0.72299999999999998</v>
      </c>
      <c r="E39" s="26">
        <v>0.03</v>
      </c>
      <c r="F39" s="26">
        <v>1.9E-2</v>
      </c>
    </row>
    <row r="40" spans="1:6">
      <c r="A40">
        <v>2023</v>
      </c>
      <c r="B40" s="26">
        <v>0.24399999999999999</v>
      </c>
      <c r="C40" s="26">
        <v>1.2999999999999999E-2</v>
      </c>
      <c r="D40" s="26">
        <v>0.69599999999999995</v>
      </c>
      <c r="E40" s="26">
        <v>3.2000000000000001E-2</v>
      </c>
      <c r="F40" s="26">
        <v>1.4E-2</v>
      </c>
    </row>
    <row r="41" spans="1:6">
      <c r="A41">
        <v>2024</v>
      </c>
      <c r="B41" s="26">
        <v>0.32200000000000001</v>
      </c>
      <c r="C41" s="26">
        <v>0.02</v>
      </c>
      <c r="D41" s="26">
        <v>0.60899999999999999</v>
      </c>
      <c r="E41" s="26">
        <v>3.1E-2</v>
      </c>
      <c r="F41" s="26">
        <v>1.7999999999999999E-2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F41"/>
  <sheetViews>
    <sheetView workbookViewId="0">
      <selection activeCell="I35" sqref="I35"/>
    </sheetView>
  </sheetViews>
  <sheetFormatPr baseColWidth="10" defaultColWidth="8.83203125" defaultRowHeight="15"/>
  <sheetData>
    <row r="1" spans="1:6">
      <c r="A1" t="s">
        <v>0</v>
      </c>
      <c r="B1" t="s">
        <v>563</v>
      </c>
      <c r="C1" t="s">
        <v>409</v>
      </c>
      <c r="D1" t="s">
        <v>564</v>
      </c>
      <c r="E1" t="s">
        <v>565</v>
      </c>
      <c r="F1" t="s">
        <v>566</v>
      </c>
    </row>
    <row r="2" spans="1:6">
      <c r="A2">
        <v>1990</v>
      </c>
      <c r="B2" s="26">
        <v>0.51200000000000001</v>
      </c>
      <c r="C2" s="26">
        <v>9.5000000000000001E-2</v>
      </c>
      <c r="D2" s="26">
        <v>0.20300000000000001</v>
      </c>
      <c r="E2" s="26">
        <v>7.1999999999999995E-2</v>
      </c>
      <c r="F2" s="26">
        <v>0.11899999999999999</v>
      </c>
    </row>
    <row r="3" spans="1:6">
      <c r="A3">
        <v>1991</v>
      </c>
      <c r="B3" s="26">
        <v>0.51800000000000002</v>
      </c>
      <c r="C3" s="26">
        <v>9.4E-2</v>
      </c>
      <c r="D3" s="26">
        <v>0.192</v>
      </c>
      <c r="E3" s="26">
        <v>7.1999999999999995E-2</v>
      </c>
      <c r="F3" s="26">
        <v>0.124</v>
      </c>
    </row>
    <row r="4" spans="1:6">
      <c r="A4">
        <v>1992</v>
      </c>
      <c r="B4" s="26">
        <v>0.51500000000000001</v>
      </c>
      <c r="C4" s="26">
        <v>9.6000000000000002E-2</v>
      </c>
      <c r="D4" s="26">
        <v>0.188</v>
      </c>
      <c r="E4" s="26">
        <v>7.2999999999999995E-2</v>
      </c>
      <c r="F4" s="26">
        <v>0.127</v>
      </c>
    </row>
    <row r="5" spans="1:6">
      <c r="A5">
        <v>1993</v>
      </c>
      <c r="B5" s="26">
        <v>0.51600000000000001</v>
      </c>
      <c r="C5" s="26">
        <v>9.8000000000000004E-2</v>
      </c>
      <c r="D5" s="26">
        <v>0.185</v>
      </c>
      <c r="E5" s="26">
        <v>6.4000000000000001E-2</v>
      </c>
      <c r="F5" s="26">
        <v>0.13700000000000001</v>
      </c>
    </row>
    <row r="6" spans="1:6">
      <c r="A6">
        <v>1994</v>
      </c>
      <c r="B6" s="26">
        <v>0.51500000000000001</v>
      </c>
      <c r="C6" s="26">
        <v>9.1999999999999998E-2</v>
      </c>
      <c r="D6" s="26">
        <v>0.193</v>
      </c>
      <c r="E6" s="26">
        <v>6.8000000000000005E-2</v>
      </c>
      <c r="F6" s="26">
        <v>0.13200000000000001</v>
      </c>
    </row>
    <row r="7" spans="1:6">
      <c r="A7">
        <v>1995</v>
      </c>
      <c r="B7" s="26">
        <v>0.53</v>
      </c>
      <c r="C7" s="26">
        <v>8.6999999999999994E-2</v>
      </c>
      <c r="D7" s="26">
        <v>0.19600000000000001</v>
      </c>
      <c r="E7" s="26">
        <v>6.6000000000000003E-2</v>
      </c>
      <c r="F7" s="26">
        <v>0.121</v>
      </c>
    </row>
    <row r="8" spans="1:6">
      <c r="A8">
        <v>1996</v>
      </c>
      <c r="B8" s="26">
        <v>0.505</v>
      </c>
      <c r="C8" s="26">
        <v>8.5999999999999993E-2</v>
      </c>
      <c r="D8" s="26">
        <v>0.222</v>
      </c>
      <c r="E8" s="26">
        <v>6.6000000000000003E-2</v>
      </c>
      <c r="F8" s="26">
        <v>0.122</v>
      </c>
    </row>
    <row r="9" spans="1:6">
      <c r="A9">
        <v>1997</v>
      </c>
      <c r="B9" s="26">
        <v>0.47899999999999998</v>
      </c>
      <c r="C9" s="26">
        <v>8.1000000000000003E-2</v>
      </c>
      <c r="D9" s="26">
        <v>0.221</v>
      </c>
      <c r="E9" s="26">
        <v>6.0999999999999999E-2</v>
      </c>
      <c r="F9" s="26">
        <v>0.158</v>
      </c>
    </row>
    <row r="10" spans="1:6">
      <c r="A10">
        <v>1998</v>
      </c>
      <c r="B10" s="26">
        <v>0.48099999999999998</v>
      </c>
      <c r="C10" s="26">
        <v>7.9000000000000001E-2</v>
      </c>
      <c r="D10" s="26">
        <v>0.23899999999999999</v>
      </c>
      <c r="E10" s="26">
        <v>5.7000000000000002E-2</v>
      </c>
      <c r="F10" s="26">
        <v>0.14499999999999999</v>
      </c>
    </row>
    <row r="11" spans="1:6">
      <c r="A11">
        <v>1999</v>
      </c>
      <c r="B11" s="26">
        <v>0.50800000000000001</v>
      </c>
      <c r="C11" s="26">
        <v>8.4000000000000005E-2</v>
      </c>
      <c r="D11" s="26">
        <v>0.23</v>
      </c>
      <c r="E11" s="26">
        <v>5.8999999999999997E-2</v>
      </c>
      <c r="F11" s="26">
        <v>0.12</v>
      </c>
    </row>
    <row r="12" spans="1:6">
      <c r="A12">
        <v>1999</v>
      </c>
      <c r="B12" s="26">
        <v>0.50800000000000001</v>
      </c>
      <c r="C12" s="26">
        <v>8.4000000000000005E-2</v>
      </c>
      <c r="D12" s="26">
        <v>0.23</v>
      </c>
      <c r="E12" s="26">
        <v>5.8999999999999997E-2</v>
      </c>
      <c r="F12" s="26">
        <v>0.12</v>
      </c>
    </row>
    <row r="13" spans="1:6">
      <c r="A13">
        <v>2000</v>
      </c>
      <c r="B13" s="26">
        <v>0.51100000000000001</v>
      </c>
      <c r="C13" s="26">
        <v>8.3000000000000004E-2</v>
      </c>
      <c r="D13" s="26">
        <v>0.20799999999999999</v>
      </c>
      <c r="E13" s="26">
        <v>6.5000000000000002E-2</v>
      </c>
      <c r="F13" s="26">
        <v>0.13400000000000001</v>
      </c>
    </row>
    <row r="14" spans="1:6">
      <c r="A14">
        <v>2001</v>
      </c>
      <c r="B14" s="26">
        <v>0.52</v>
      </c>
      <c r="C14" s="26">
        <v>7.4999999999999997E-2</v>
      </c>
      <c r="D14" s="26">
        <v>0.224</v>
      </c>
      <c r="E14" s="26">
        <v>5.8999999999999997E-2</v>
      </c>
      <c r="F14" s="26">
        <v>0.121</v>
      </c>
    </row>
    <row r="15" spans="1:6">
      <c r="A15">
        <v>2002</v>
      </c>
      <c r="B15" s="26">
        <v>0.54400000000000004</v>
      </c>
      <c r="C15" s="26">
        <v>8.3000000000000004E-2</v>
      </c>
      <c r="D15" s="26">
        <v>0.188</v>
      </c>
      <c r="E15" s="26">
        <v>6.3E-2</v>
      </c>
      <c r="F15" s="26">
        <v>0.122</v>
      </c>
    </row>
    <row r="16" spans="1:6">
      <c r="A16">
        <v>2003</v>
      </c>
      <c r="B16" s="26">
        <v>0.54900000000000004</v>
      </c>
      <c r="C16" s="26">
        <v>8.5000000000000006E-2</v>
      </c>
      <c r="D16" s="26">
        <v>0.17199999999999999</v>
      </c>
      <c r="E16" s="26">
        <v>6.5000000000000002E-2</v>
      </c>
      <c r="F16" s="26">
        <v>0.129</v>
      </c>
    </row>
    <row r="17" spans="1:6">
      <c r="A17">
        <v>2004</v>
      </c>
      <c r="B17" s="26">
        <v>0.56899999999999995</v>
      </c>
      <c r="C17" s="26">
        <v>8.4000000000000005E-2</v>
      </c>
      <c r="D17" s="26">
        <v>0.15</v>
      </c>
      <c r="E17" s="26">
        <v>6.0999999999999999E-2</v>
      </c>
      <c r="F17" s="26">
        <v>0.13600000000000001</v>
      </c>
    </row>
    <row r="18" spans="1:6">
      <c r="A18">
        <v>2004</v>
      </c>
      <c r="B18" s="26">
        <v>0.56899999999999995</v>
      </c>
      <c r="C18" s="26">
        <v>8.4000000000000005E-2</v>
      </c>
      <c r="D18" s="26">
        <v>0.15</v>
      </c>
      <c r="E18" s="26">
        <v>6.0999999999999999E-2</v>
      </c>
      <c r="F18" s="26">
        <v>0.13600000000000001</v>
      </c>
    </row>
    <row r="19" spans="1:6">
      <c r="A19">
        <v>2005</v>
      </c>
      <c r="B19" s="26">
        <v>0.56299999999999994</v>
      </c>
      <c r="C19" s="26">
        <v>8.2000000000000003E-2</v>
      </c>
      <c r="D19" s="26">
        <v>0.16900000000000001</v>
      </c>
      <c r="E19" s="26">
        <v>0.06</v>
      </c>
      <c r="F19" s="26">
        <v>0.127</v>
      </c>
    </row>
    <row r="20" spans="1:6">
      <c r="A20">
        <v>2006</v>
      </c>
      <c r="B20" s="26">
        <v>0.54700000000000004</v>
      </c>
      <c r="C20" s="26">
        <v>7.3999999999999996E-2</v>
      </c>
      <c r="D20" s="26">
        <v>0.17100000000000001</v>
      </c>
      <c r="E20" s="26">
        <v>5.1999999999999998E-2</v>
      </c>
      <c r="F20" s="26">
        <v>0.156</v>
      </c>
    </row>
    <row r="21" spans="1:6">
      <c r="A21">
        <v>2007</v>
      </c>
      <c r="B21" s="26">
        <v>0.55300000000000005</v>
      </c>
      <c r="C21" s="26">
        <v>7.3999999999999996E-2</v>
      </c>
      <c r="D21" s="26">
        <v>0.184</v>
      </c>
      <c r="E21" s="26">
        <v>0.05</v>
      </c>
      <c r="F21" s="26">
        <v>0.13900000000000001</v>
      </c>
    </row>
    <row r="22" spans="1:6">
      <c r="A22">
        <v>2008</v>
      </c>
      <c r="B22" s="26">
        <v>0.55000000000000004</v>
      </c>
      <c r="C22" s="26">
        <v>7.6999999999999999E-2</v>
      </c>
      <c r="D22" s="26">
        <v>0.184</v>
      </c>
      <c r="E22" s="26">
        <v>5.3999999999999999E-2</v>
      </c>
      <c r="F22" s="26">
        <v>0.13500000000000001</v>
      </c>
    </row>
    <row r="23" spans="1:6">
      <c r="A23">
        <v>2009</v>
      </c>
      <c r="B23" s="26">
        <v>0.54600000000000004</v>
      </c>
      <c r="C23" s="26">
        <v>8.1000000000000003E-2</v>
      </c>
      <c r="D23" s="26">
        <v>0.187</v>
      </c>
      <c r="E23" s="26">
        <v>5.2999999999999999E-2</v>
      </c>
      <c r="F23" s="26">
        <v>0.13300000000000001</v>
      </c>
    </row>
    <row r="24" spans="1:6">
      <c r="A24">
        <v>2009</v>
      </c>
      <c r="B24" s="26">
        <v>0.54600000000000004</v>
      </c>
      <c r="C24" s="26">
        <v>8.1000000000000003E-2</v>
      </c>
      <c r="D24" s="26">
        <v>0.187</v>
      </c>
      <c r="E24" s="26">
        <v>5.2999999999999999E-2</v>
      </c>
      <c r="F24" s="26">
        <v>0.13300000000000001</v>
      </c>
    </row>
    <row r="25" spans="1:6">
      <c r="A25">
        <v>2010</v>
      </c>
      <c r="B25" s="26">
        <v>0.54600000000000004</v>
      </c>
      <c r="C25" s="26">
        <v>0.10299999999999999</v>
      </c>
      <c r="D25" s="26">
        <v>0.183</v>
      </c>
      <c r="E25" s="26">
        <v>5.7000000000000002E-2</v>
      </c>
      <c r="F25" s="26">
        <v>0.112</v>
      </c>
    </row>
    <row r="26" spans="1:6">
      <c r="A26">
        <v>2011</v>
      </c>
      <c r="B26" s="26">
        <v>0.55500000000000005</v>
      </c>
      <c r="C26" s="26">
        <v>9.5000000000000001E-2</v>
      </c>
      <c r="D26" s="26">
        <v>0.19800000000000001</v>
      </c>
      <c r="E26" s="26">
        <v>6.4000000000000001E-2</v>
      </c>
      <c r="F26" s="26">
        <v>8.7999999999999995E-2</v>
      </c>
    </row>
    <row r="27" spans="1:6">
      <c r="A27">
        <v>2012</v>
      </c>
      <c r="B27" s="26">
        <v>0.54700000000000004</v>
      </c>
      <c r="C27" s="26">
        <v>8.7999999999999995E-2</v>
      </c>
      <c r="D27" s="26">
        <v>0.21299999999999999</v>
      </c>
      <c r="E27" s="26">
        <v>6.4000000000000001E-2</v>
      </c>
      <c r="F27" s="26">
        <v>8.7999999999999995E-2</v>
      </c>
    </row>
    <row r="28" spans="1:6">
      <c r="A28">
        <v>2013</v>
      </c>
      <c r="B28" s="26">
        <v>0.54500000000000004</v>
      </c>
      <c r="C28" s="26">
        <v>9.1999999999999998E-2</v>
      </c>
      <c r="D28" s="26">
        <v>0.219</v>
      </c>
      <c r="E28" s="26">
        <v>6.4000000000000001E-2</v>
      </c>
      <c r="F28" s="26">
        <v>0.08</v>
      </c>
    </row>
    <row r="29" spans="1:6">
      <c r="A29">
        <v>2014</v>
      </c>
      <c r="B29" s="26">
        <v>0.53800000000000003</v>
      </c>
      <c r="C29" s="26">
        <v>8.8999999999999996E-2</v>
      </c>
      <c r="D29" s="26">
        <v>0.23699999999999999</v>
      </c>
      <c r="E29" s="26">
        <v>6.3E-2</v>
      </c>
      <c r="F29" s="26">
        <v>7.2999999999999995E-2</v>
      </c>
    </row>
    <row r="30" spans="1:6">
      <c r="A30">
        <v>2014</v>
      </c>
      <c r="B30" s="26">
        <v>0.53800000000000003</v>
      </c>
      <c r="C30" s="26">
        <v>8.8999999999999996E-2</v>
      </c>
      <c r="D30" s="26">
        <v>0.23699999999999999</v>
      </c>
      <c r="E30" s="26">
        <v>6.3E-2</v>
      </c>
      <c r="F30" s="26">
        <v>7.2999999999999995E-2</v>
      </c>
    </row>
    <row r="31" spans="1:6">
      <c r="A31">
        <v>2015</v>
      </c>
      <c r="B31" s="26">
        <v>0.53</v>
      </c>
      <c r="C31" s="26">
        <v>8.6999999999999994E-2</v>
      </c>
      <c r="D31" s="26">
        <v>0.24</v>
      </c>
      <c r="E31" s="26">
        <v>7.0999999999999994E-2</v>
      </c>
      <c r="F31" s="26">
        <v>7.1999999999999995E-2</v>
      </c>
    </row>
    <row r="32" spans="1:6">
      <c r="A32">
        <v>2016</v>
      </c>
      <c r="B32" s="26">
        <v>0.48499999999999999</v>
      </c>
      <c r="C32" s="26">
        <v>0.09</v>
      </c>
      <c r="D32" s="26">
        <v>0.26500000000000001</v>
      </c>
      <c r="E32" s="26">
        <v>6.7000000000000004E-2</v>
      </c>
      <c r="F32" s="26">
        <v>9.4E-2</v>
      </c>
    </row>
    <row r="33" spans="1:6">
      <c r="A33">
        <v>2017</v>
      </c>
      <c r="B33" s="26">
        <v>0.50900000000000001</v>
      </c>
      <c r="C33" s="26">
        <v>9.1999999999999998E-2</v>
      </c>
      <c r="D33" s="26">
        <v>0.26200000000000001</v>
      </c>
      <c r="E33" s="26">
        <v>7.1999999999999995E-2</v>
      </c>
      <c r="F33" s="26">
        <v>6.6000000000000003E-2</v>
      </c>
    </row>
    <row r="34" spans="1:6">
      <c r="A34">
        <v>2018</v>
      </c>
      <c r="B34" s="26">
        <v>0.47499999999999998</v>
      </c>
      <c r="C34" s="26">
        <v>8.6999999999999994E-2</v>
      </c>
      <c r="D34" s="26">
        <v>0.27800000000000002</v>
      </c>
      <c r="E34" s="26">
        <v>7.4999999999999997E-2</v>
      </c>
      <c r="F34" s="26">
        <v>8.5999999999999993E-2</v>
      </c>
    </row>
    <row r="35" spans="1:6">
      <c r="A35">
        <v>2019</v>
      </c>
      <c r="B35" s="26">
        <v>0.45200000000000001</v>
      </c>
      <c r="C35" s="26">
        <v>9.2999999999999999E-2</v>
      </c>
      <c r="D35" s="26">
        <v>0.29499999999999998</v>
      </c>
      <c r="E35" s="26">
        <v>7.5999999999999998E-2</v>
      </c>
      <c r="F35" s="26">
        <v>8.3000000000000004E-2</v>
      </c>
    </row>
    <row r="36" spans="1:6">
      <c r="A36">
        <v>2019</v>
      </c>
      <c r="B36" s="26">
        <v>0.45200000000000001</v>
      </c>
      <c r="C36" s="26">
        <v>9.2999999999999999E-2</v>
      </c>
      <c r="D36" s="26">
        <v>0.29599999999999999</v>
      </c>
      <c r="E36" s="26">
        <v>7.5999999999999998E-2</v>
      </c>
      <c r="F36" s="26">
        <v>8.3000000000000004E-2</v>
      </c>
    </row>
    <row r="37" spans="1:6">
      <c r="A37">
        <v>2020</v>
      </c>
      <c r="B37" s="26">
        <v>0.438</v>
      </c>
      <c r="C37" s="26">
        <v>0.10100000000000001</v>
      </c>
      <c r="D37" s="26">
        <v>0.30199999999999999</v>
      </c>
      <c r="E37" s="26">
        <v>7.2999999999999995E-2</v>
      </c>
      <c r="F37" s="26">
        <v>8.5999999999999993E-2</v>
      </c>
    </row>
    <row r="38" spans="1:6">
      <c r="A38">
        <v>2021</v>
      </c>
      <c r="B38" s="26">
        <v>0.39900000000000002</v>
      </c>
      <c r="C38" s="26">
        <v>0.1</v>
      </c>
      <c r="D38" s="26">
        <v>0.33800000000000002</v>
      </c>
      <c r="E38" s="26">
        <v>8.2000000000000003E-2</v>
      </c>
      <c r="F38" s="26">
        <v>8.2000000000000003E-2</v>
      </c>
    </row>
    <row r="39" spans="1:6">
      <c r="A39">
        <v>2022</v>
      </c>
      <c r="B39" s="26">
        <v>0.372</v>
      </c>
      <c r="C39" s="26">
        <v>9.2999999999999999E-2</v>
      </c>
      <c r="D39" s="26">
        <v>0.379</v>
      </c>
      <c r="E39" s="26">
        <v>8.1000000000000003E-2</v>
      </c>
      <c r="F39" s="26">
        <v>7.5999999999999998E-2</v>
      </c>
    </row>
    <row r="40" spans="1:6">
      <c r="A40">
        <v>2023</v>
      </c>
      <c r="B40" s="26">
        <v>0.38500000000000001</v>
      </c>
      <c r="C40" s="26">
        <v>9.1999999999999998E-2</v>
      </c>
      <c r="D40" s="26">
        <v>0.36799999999999999</v>
      </c>
      <c r="E40" s="26">
        <v>0.08</v>
      </c>
      <c r="F40" s="26">
        <v>7.5999999999999998E-2</v>
      </c>
    </row>
    <row r="41" spans="1:6">
      <c r="A41">
        <v>2024</v>
      </c>
      <c r="B41" s="26">
        <v>0.42499999999999999</v>
      </c>
      <c r="C41" s="26">
        <v>9.8000000000000004E-2</v>
      </c>
      <c r="D41" s="26">
        <v>0.32200000000000001</v>
      </c>
      <c r="E41" s="26">
        <v>7.9000000000000001E-2</v>
      </c>
      <c r="F41" s="26">
        <v>7.5999999999999998E-2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19"/>
  <sheetViews>
    <sheetView zoomScale="98" zoomScaleNormal="98" workbookViewId="0">
      <selection activeCell="B3" sqref="B3"/>
    </sheetView>
  </sheetViews>
  <sheetFormatPr baseColWidth="10" defaultColWidth="8.83203125" defaultRowHeight="15"/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t="s">
        <v>27</v>
      </c>
    </row>
    <row r="2" spans="1:5">
      <c r="A2" s="1">
        <v>2008</v>
      </c>
      <c r="B2" s="1">
        <v>190</v>
      </c>
      <c r="C2" s="1">
        <v>81</v>
      </c>
      <c r="D2" s="1">
        <v>5</v>
      </c>
      <c r="E2" s="25">
        <f>C2/(SUM(C2:D2))</f>
        <v>0.94186046511627908</v>
      </c>
    </row>
    <row r="3" spans="1:5">
      <c r="A3" s="1">
        <v>2009</v>
      </c>
      <c r="B3" s="1">
        <v>441</v>
      </c>
      <c r="C3" s="1">
        <v>398</v>
      </c>
      <c r="D3" s="1">
        <v>58</v>
      </c>
      <c r="E3" s="25">
        <f t="shared" ref="E3:E19" si="0">C3/(SUM(C3:D3))</f>
        <v>0.8728070175438597</v>
      </c>
    </row>
    <row r="4" spans="1:5">
      <c r="A4" s="1">
        <v>2010</v>
      </c>
      <c r="B4" s="1">
        <v>567</v>
      </c>
      <c r="C4" s="1">
        <v>540</v>
      </c>
      <c r="D4" s="1">
        <v>32</v>
      </c>
      <c r="E4" s="25">
        <f t="shared" si="0"/>
        <v>0.94405594405594406</v>
      </c>
    </row>
    <row r="5" spans="1:5">
      <c r="A5" s="1">
        <v>2011</v>
      </c>
      <c r="B5" s="1">
        <v>1010</v>
      </c>
      <c r="C5" s="1">
        <v>906</v>
      </c>
      <c r="D5" s="1">
        <v>33</v>
      </c>
      <c r="E5" s="25">
        <f t="shared" si="0"/>
        <v>0.96485623003194887</v>
      </c>
    </row>
    <row r="6" spans="1:5">
      <c r="A6" s="1">
        <v>2012</v>
      </c>
      <c r="B6" s="1">
        <v>1248</v>
      </c>
      <c r="C6" s="1">
        <v>1188</v>
      </c>
      <c r="D6" s="1">
        <v>74</v>
      </c>
      <c r="E6" s="25">
        <f t="shared" si="0"/>
        <v>0.94136291600633915</v>
      </c>
    </row>
    <row r="7" spans="1:5">
      <c r="A7" s="1">
        <v>2013</v>
      </c>
      <c r="B7" s="1">
        <v>2167</v>
      </c>
      <c r="C7" s="1">
        <v>2036</v>
      </c>
      <c r="D7" s="1">
        <v>51</v>
      </c>
      <c r="E7" s="25">
        <f t="shared" si="0"/>
        <v>0.97556300910397697</v>
      </c>
    </row>
    <row r="8" spans="1:5">
      <c r="A8" s="1">
        <v>2014</v>
      </c>
      <c r="B8" s="1">
        <v>2213</v>
      </c>
      <c r="C8" s="1">
        <v>2156</v>
      </c>
      <c r="D8" s="1">
        <v>63</v>
      </c>
      <c r="E8" s="25">
        <f t="shared" si="0"/>
        <v>0.97160883280757093</v>
      </c>
    </row>
    <row r="9" spans="1:5">
      <c r="A9" s="1">
        <v>2015</v>
      </c>
      <c r="B9" s="1">
        <v>2191</v>
      </c>
      <c r="C9" s="1">
        <v>2091</v>
      </c>
      <c r="D9" s="1">
        <v>74</v>
      </c>
      <c r="E9" s="25">
        <f t="shared" si="0"/>
        <v>0.96581986143187071</v>
      </c>
    </row>
    <row r="10" spans="1:5">
      <c r="A10" s="1">
        <v>2016</v>
      </c>
      <c r="B10" s="1">
        <v>2893</v>
      </c>
      <c r="C10" s="1">
        <v>2532</v>
      </c>
      <c r="D10" s="1">
        <v>185</v>
      </c>
      <c r="E10" s="25">
        <f t="shared" si="0"/>
        <v>0.93191019506808981</v>
      </c>
    </row>
    <row r="11" spans="1:5">
      <c r="A11" s="1">
        <v>2017</v>
      </c>
      <c r="B11" s="1">
        <v>2439</v>
      </c>
      <c r="C11" s="1">
        <v>2532</v>
      </c>
      <c r="D11" s="1">
        <v>128</v>
      </c>
      <c r="E11" s="25">
        <f t="shared" si="0"/>
        <v>0.95187969924812033</v>
      </c>
    </row>
    <row r="12" spans="1:5">
      <c r="A12">
        <v>2018</v>
      </c>
      <c r="B12">
        <v>3509</v>
      </c>
      <c r="C12">
        <v>2840</v>
      </c>
      <c r="D12">
        <v>106</v>
      </c>
      <c r="E12" s="25">
        <f t="shared" si="0"/>
        <v>0.96401900882552616</v>
      </c>
    </row>
    <row r="13" spans="1:5">
      <c r="A13">
        <v>2019</v>
      </c>
      <c r="B13">
        <v>5324</v>
      </c>
      <c r="C13">
        <v>5551</v>
      </c>
      <c r="D13">
        <v>193</v>
      </c>
      <c r="E13" s="25">
        <f t="shared" si="0"/>
        <v>0.96639972144846797</v>
      </c>
    </row>
    <row r="14" spans="1:5">
      <c r="A14">
        <v>2020</v>
      </c>
      <c r="B14">
        <v>5451</v>
      </c>
      <c r="C14">
        <v>4611</v>
      </c>
      <c r="D14">
        <v>157</v>
      </c>
      <c r="E14" s="25">
        <f t="shared" si="0"/>
        <v>0.96707214765100669</v>
      </c>
    </row>
    <row r="15" spans="1:5">
      <c r="A15">
        <v>2021</v>
      </c>
      <c r="B15">
        <v>5935</v>
      </c>
      <c r="C15">
        <v>5992</v>
      </c>
      <c r="D15">
        <v>297</v>
      </c>
      <c r="E15" s="25">
        <f t="shared" si="0"/>
        <v>0.95277468595961201</v>
      </c>
    </row>
    <row r="16" spans="1:5">
      <c r="A16">
        <v>2022</v>
      </c>
      <c r="B16">
        <v>11229</v>
      </c>
      <c r="C16">
        <v>11193</v>
      </c>
      <c r="D16">
        <v>147</v>
      </c>
      <c r="E16" s="25">
        <f t="shared" si="0"/>
        <v>0.98703703703703705</v>
      </c>
    </row>
    <row r="17" spans="1:5">
      <c r="A17">
        <v>2023</v>
      </c>
      <c r="B17">
        <v>12605</v>
      </c>
      <c r="C17">
        <v>11136</v>
      </c>
      <c r="D17">
        <v>146</v>
      </c>
      <c r="E17" s="25">
        <f t="shared" si="0"/>
        <v>0.98705903208650947</v>
      </c>
    </row>
    <row r="18" spans="1:5">
      <c r="A18" s="107">
        <v>2024</v>
      </c>
      <c r="B18" s="107">
        <v>18995</v>
      </c>
      <c r="C18" s="107">
        <v>14321</v>
      </c>
      <c r="D18" s="107">
        <v>328</v>
      </c>
      <c r="E18" s="108">
        <f t="shared" si="0"/>
        <v>0.97760939313263706</v>
      </c>
    </row>
    <row r="19" spans="1:5">
      <c r="A19" s="107">
        <v>2025</v>
      </c>
      <c r="B19" s="107">
        <v>18505</v>
      </c>
      <c r="C19" s="107">
        <v>14139</v>
      </c>
      <c r="D19" s="107">
        <v>745</v>
      </c>
      <c r="E19" s="108">
        <f t="shared" si="0"/>
        <v>0.94994625100779362</v>
      </c>
    </row>
  </sheetData>
  <pageMargins left="0.75" right="0.75" top="1" bottom="1" header="0.5" footer="0.5"/>
  <ignoredErrors>
    <ignoredError sqref="E2:E19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FFFF00"/>
  </sheetPr>
  <dimension ref="A1:D18"/>
  <sheetViews>
    <sheetView workbookViewId="0">
      <selection activeCell="H17" sqref="H17"/>
    </sheetView>
  </sheetViews>
  <sheetFormatPr baseColWidth="10" defaultColWidth="8.83203125" defaultRowHeight="15"/>
  <sheetData>
    <row r="1" spans="1:4">
      <c r="A1" s="1" t="s">
        <v>0</v>
      </c>
      <c r="B1" s="1" t="s">
        <v>51</v>
      </c>
      <c r="C1" s="1" t="s">
        <v>52</v>
      </c>
      <c r="D1" s="1"/>
    </row>
    <row r="2" spans="1:4">
      <c r="A2" s="1">
        <v>2009</v>
      </c>
      <c r="B2">
        <v>98803</v>
      </c>
      <c r="C2">
        <v>79401</v>
      </c>
      <c r="D2" s="1">
        <f>B2+C2</f>
        <v>178204</v>
      </c>
    </row>
    <row r="3" spans="1:4">
      <c r="A3" s="1">
        <v>2010</v>
      </c>
      <c r="B3">
        <v>83227</v>
      </c>
      <c r="C3">
        <v>64761</v>
      </c>
      <c r="D3" s="1">
        <f t="shared" ref="D3:D18" si="0">B3+C3</f>
        <v>147988</v>
      </c>
    </row>
    <row r="4" spans="1:4">
      <c r="A4" s="1">
        <v>2011</v>
      </c>
      <c r="B4">
        <v>113810</v>
      </c>
      <c r="C4">
        <v>90042</v>
      </c>
      <c r="D4" s="1">
        <f t="shared" si="0"/>
        <v>203852</v>
      </c>
    </row>
    <row r="5" spans="1:4">
      <c r="A5" s="1">
        <v>2012</v>
      </c>
      <c r="B5">
        <v>139961</v>
      </c>
      <c r="C5">
        <v>66280</v>
      </c>
      <c r="D5" s="1">
        <f t="shared" si="0"/>
        <v>206241</v>
      </c>
    </row>
    <row r="6" spans="1:4">
      <c r="A6" s="1">
        <v>2013</v>
      </c>
      <c r="B6">
        <v>129717</v>
      </c>
      <c r="C6">
        <v>83358</v>
      </c>
      <c r="D6" s="1">
        <f t="shared" si="0"/>
        <v>213075</v>
      </c>
    </row>
    <row r="7" spans="1:4">
      <c r="A7" s="1">
        <v>2014</v>
      </c>
      <c r="B7">
        <v>129627</v>
      </c>
      <c r="C7">
        <v>100377</v>
      </c>
      <c r="D7" s="1">
        <f t="shared" si="0"/>
        <v>230004</v>
      </c>
    </row>
    <row r="8" spans="1:4">
      <c r="A8" s="1">
        <v>2015</v>
      </c>
      <c r="B8">
        <v>111101</v>
      </c>
      <c r="C8">
        <v>77207</v>
      </c>
      <c r="D8" s="1">
        <f t="shared" si="0"/>
        <v>188308</v>
      </c>
    </row>
    <row r="9" spans="1:4">
      <c r="A9" s="1">
        <v>2016</v>
      </c>
      <c r="B9">
        <v>104314</v>
      </c>
      <c r="C9">
        <v>94135</v>
      </c>
      <c r="D9" s="1">
        <f t="shared" si="0"/>
        <v>198449</v>
      </c>
    </row>
    <row r="10" spans="1:4">
      <c r="A10" s="1">
        <v>2017</v>
      </c>
      <c r="B10">
        <v>95112</v>
      </c>
      <c r="C10">
        <v>95261</v>
      </c>
      <c r="D10" s="1">
        <f t="shared" si="0"/>
        <v>190373</v>
      </c>
    </row>
    <row r="11" spans="1:4">
      <c r="A11" s="1">
        <v>2018</v>
      </c>
      <c r="B11">
        <v>87245</v>
      </c>
      <c r="C11">
        <v>93686</v>
      </c>
      <c r="D11" s="1">
        <f t="shared" si="0"/>
        <v>180931</v>
      </c>
    </row>
    <row r="12" spans="1:4">
      <c r="A12">
        <v>2019</v>
      </c>
      <c r="B12">
        <v>132184</v>
      </c>
      <c r="C12">
        <v>108414</v>
      </c>
      <c r="D12" s="1">
        <f t="shared" si="0"/>
        <v>240598</v>
      </c>
    </row>
    <row r="13" spans="1:4">
      <c r="A13">
        <v>2020</v>
      </c>
      <c r="B13">
        <v>121874</v>
      </c>
      <c r="C13">
        <v>123195</v>
      </c>
      <c r="D13" s="1">
        <f t="shared" si="0"/>
        <v>245069</v>
      </c>
    </row>
    <row r="14" spans="1:4">
      <c r="A14">
        <v>2021</v>
      </c>
      <c r="B14">
        <v>122272</v>
      </c>
      <c r="C14">
        <v>98298</v>
      </c>
      <c r="D14" s="1">
        <f t="shared" si="0"/>
        <v>220570</v>
      </c>
    </row>
    <row r="15" spans="1:4">
      <c r="A15">
        <v>2022</v>
      </c>
      <c r="B15">
        <v>130928</v>
      </c>
      <c r="C15">
        <v>90020</v>
      </c>
      <c r="D15" s="1">
        <f t="shared" si="0"/>
        <v>220948</v>
      </c>
    </row>
    <row r="16" spans="1:4">
      <c r="A16">
        <v>2023</v>
      </c>
      <c r="B16">
        <v>117153</v>
      </c>
      <c r="C16">
        <v>87770</v>
      </c>
      <c r="D16" s="1">
        <f t="shared" si="0"/>
        <v>204923</v>
      </c>
    </row>
    <row r="17" spans="1:4">
      <c r="A17">
        <v>2024</v>
      </c>
      <c r="B17">
        <v>139691</v>
      </c>
      <c r="C17">
        <v>98071</v>
      </c>
      <c r="D17" s="1">
        <f t="shared" si="0"/>
        <v>237762</v>
      </c>
    </row>
    <row r="18" spans="1:4">
      <c r="A18">
        <v>2025</v>
      </c>
      <c r="B18">
        <v>113458</v>
      </c>
      <c r="C18">
        <v>118194</v>
      </c>
      <c r="D18" s="1">
        <f t="shared" si="0"/>
        <v>231652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FFFF00"/>
  </sheetPr>
  <dimension ref="A1:D18"/>
  <sheetViews>
    <sheetView workbookViewId="0">
      <selection activeCell="F6" sqref="F6"/>
    </sheetView>
  </sheetViews>
  <sheetFormatPr baseColWidth="10" defaultColWidth="8.83203125" defaultRowHeight="15"/>
  <sheetData>
    <row r="1" spans="1:4">
      <c r="A1" s="1" t="s">
        <v>0</v>
      </c>
      <c r="B1" s="1" t="s">
        <v>569</v>
      </c>
      <c r="C1" s="1" t="s">
        <v>570</v>
      </c>
      <c r="D1" s="1"/>
    </row>
    <row r="2" spans="1:4">
      <c r="A2" s="1">
        <v>2009</v>
      </c>
      <c r="B2">
        <v>18005</v>
      </c>
      <c r="C2">
        <v>3856</v>
      </c>
      <c r="D2" s="1"/>
    </row>
    <row r="3" spans="1:4">
      <c r="A3" s="1">
        <v>2010</v>
      </c>
      <c r="B3">
        <v>7260</v>
      </c>
      <c r="C3">
        <v>2444</v>
      </c>
      <c r="D3" s="1"/>
    </row>
    <row r="4" spans="1:4">
      <c r="A4" s="1">
        <v>2011</v>
      </c>
      <c r="B4">
        <v>8506</v>
      </c>
      <c r="C4">
        <v>2192</v>
      </c>
      <c r="D4" s="1"/>
    </row>
    <row r="5" spans="1:4">
      <c r="A5" s="1">
        <v>2012</v>
      </c>
      <c r="B5">
        <v>7335</v>
      </c>
      <c r="C5">
        <v>1773</v>
      </c>
      <c r="D5" s="1"/>
    </row>
    <row r="6" spans="1:4">
      <c r="A6" s="1">
        <v>2013</v>
      </c>
      <c r="B6">
        <v>9526</v>
      </c>
      <c r="C6">
        <v>2010</v>
      </c>
      <c r="D6" s="1"/>
    </row>
    <row r="7" spans="1:4">
      <c r="A7" s="1">
        <v>2014</v>
      </c>
      <c r="B7">
        <v>10594</v>
      </c>
      <c r="C7">
        <v>2563</v>
      </c>
      <c r="D7" s="1"/>
    </row>
    <row r="8" spans="1:4">
      <c r="A8" s="1">
        <v>2015</v>
      </c>
      <c r="B8">
        <v>7611</v>
      </c>
      <c r="C8">
        <v>1835</v>
      </c>
      <c r="D8" s="1"/>
    </row>
    <row r="9" spans="1:4">
      <c r="A9" s="1">
        <v>2016</v>
      </c>
      <c r="B9">
        <v>11220</v>
      </c>
      <c r="C9">
        <v>2906</v>
      </c>
      <c r="D9" s="1"/>
    </row>
    <row r="10" spans="1:4">
      <c r="A10" s="1">
        <v>2017</v>
      </c>
      <c r="B10">
        <v>14439</v>
      </c>
      <c r="C10">
        <v>2402</v>
      </c>
      <c r="D10" s="1"/>
    </row>
    <row r="11" spans="1:4">
      <c r="A11" s="1">
        <v>2018</v>
      </c>
      <c r="B11">
        <v>28080</v>
      </c>
      <c r="C11">
        <v>3547</v>
      </c>
      <c r="D11" s="1"/>
    </row>
    <row r="12" spans="1:4">
      <c r="A12">
        <v>2019</v>
      </c>
      <c r="B12">
        <v>35507</v>
      </c>
      <c r="C12">
        <v>3807</v>
      </c>
    </row>
    <row r="13" spans="1:4">
      <c r="A13">
        <v>2020</v>
      </c>
      <c r="B13">
        <v>18193</v>
      </c>
      <c r="C13">
        <v>4586</v>
      </c>
    </row>
    <row r="14" spans="1:4">
      <c r="A14">
        <v>2021</v>
      </c>
      <c r="B14">
        <v>4650</v>
      </c>
      <c r="C14">
        <v>2021</v>
      </c>
    </row>
    <row r="15" spans="1:4">
      <c r="A15">
        <v>2022</v>
      </c>
      <c r="B15">
        <v>2904</v>
      </c>
      <c r="C15">
        <v>2193</v>
      </c>
    </row>
    <row r="16" spans="1:4">
      <c r="A16">
        <v>2023</v>
      </c>
      <c r="B16">
        <v>4209</v>
      </c>
      <c r="C16">
        <v>2402</v>
      </c>
    </row>
    <row r="17" spans="1:3">
      <c r="A17">
        <v>2024</v>
      </c>
      <c r="B17">
        <v>3554</v>
      </c>
      <c r="C17">
        <v>1455</v>
      </c>
    </row>
    <row r="18" spans="1:3">
      <c r="A18">
        <v>2025</v>
      </c>
      <c r="B18">
        <v>3270</v>
      </c>
      <c r="C18">
        <v>1963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FFFF00"/>
  </sheetPr>
  <dimension ref="A1:D18"/>
  <sheetViews>
    <sheetView workbookViewId="0">
      <selection activeCell="I43" sqref="I43"/>
    </sheetView>
  </sheetViews>
  <sheetFormatPr baseColWidth="10" defaultColWidth="8.83203125" defaultRowHeight="15"/>
  <sheetData>
    <row r="1" spans="1:4">
      <c r="A1" s="1" t="s">
        <v>0</v>
      </c>
      <c r="B1" s="1" t="s">
        <v>51</v>
      </c>
      <c r="C1" s="1" t="s">
        <v>52</v>
      </c>
      <c r="D1" s="1"/>
    </row>
    <row r="2" spans="1:4">
      <c r="A2" s="1">
        <v>2009</v>
      </c>
      <c r="B2">
        <v>43078</v>
      </c>
      <c r="C2">
        <v>35115</v>
      </c>
      <c r="D2" s="1"/>
    </row>
    <row r="3" spans="1:4">
      <c r="A3" s="1">
        <v>2010</v>
      </c>
      <c r="B3">
        <v>37313</v>
      </c>
      <c r="C3">
        <v>29516</v>
      </c>
      <c r="D3" s="1"/>
    </row>
    <row r="4" spans="1:4">
      <c r="A4" s="1">
        <v>2011</v>
      </c>
      <c r="B4">
        <v>58123</v>
      </c>
      <c r="C4">
        <v>42192</v>
      </c>
      <c r="D4" s="1"/>
    </row>
    <row r="5" spans="1:4">
      <c r="A5" s="1">
        <v>2012</v>
      </c>
      <c r="B5">
        <v>78251</v>
      </c>
      <c r="C5">
        <v>31216</v>
      </c>
      <c r="D5" s="1"/>
    </row>
    <row r="6" spans="1:4">
      <c r="A6" s="1">
        <v>2013</v>
      </c>
      <c r="B6">
        <v>72849</v>
      </c>
      <c r="C6">
        <v>36996</v>
      </c>
      <c r="D6" s="1"/>
    </row>
    <row r="7" spans="1:4">
      <c r="A7" s="1">
        <v>2014</v>
      </c>
      <c r="B7">
        <v>79594</v>
      </c>
      <c r="C7">
        <v>52076</v>
      </c>
      <c r="D7" s="1"/>
    </row>
    <row r="8" spans="1:4">
      <c r="A8" s="1">
        <v>2015</v>
      </c>
      <c r="B8">
        <v>62844</v>
      </c>
      <c r="C8">
        <v>43900</v>
      </c>
      <c r="D8" s="1"/>
    </row>
    <row r="9" spans="1:4">
      <c r="A9" s="1">
        <v>2016</v>
      </c>
      <c r="B9">
        <v>56545</v>
      </c>
      <c r="C9">
        <v>50439</v>
      </c>
      <c r="D9" s="1"/>
    </row>
    <row r="10" spans="1:4">
      <c r="A10" s="1">
        <v>2017</v>
      </c>
      <c r="B10">
        <v>49233</v>
      </c>
      <c r="C10">
        <v>52172</v>
      </c>
      <c r="D10" s="1"/>
    </row>
    <row r="11" spans="1:4">
      <c r="A11" s="1">
        <v>2018</v>
      </c>
      <c r="B11">
        <v>37927</v>
      </c>
      <c r="C11">
        <v>52506</v>
      </c>
      <c r="D11" s="1"/>
    </row>
    <row r="12" spans="1:4">
      <c r="A12">
        <v>2019</v>
      </c>
      <c r="B12">
        <v>63133</v>
      </c>
      <c r="C12">
        <v>58928</v>
      </c>
      <c r="D12" s="1"/>
    </row>
    <row r="13" spans="1:4">
      <c r="A13">
        <v>2020</v>
      </c>
      <c r="B13">
        <v>62697</v>
      </c>
      <c r="C13">
        <v>65822</v>
      </c>
      <c r="D13" s="1"/>
    </row>
    <row r="14" spans="1:4">
      <c r="A14">
        <v>2021</v>
      </c>
      <c r="B14">
        <v>63748</v>
      </c>
      <c r="C14">
        <v>42404</v>
      </c>
      <c r="D14" s="1"/>
    </row>
    <row r="15" spans="1:4">
      <c r="A15">
        <v>2022</v>
      </c>
      <c r="B15">
        <v>67977</v>
      </c>
      <c r="C15">
        <v>33615</v>
      </c>
      <c r="D15" s="1"/>
    </row>
    <row r="16" spans="1:4">
      <c r="A16">
        <v>2023</v>
      </c>
      <c r="B16">
        <v>60150</v>
      </c>
      <c r="C16">
        <v>33895</v>
      </c>
      <c r="D16" s="1"/>
    </row>
    <row r="17" spans="1:4">
      <c r="A17">
        <v>2024</v>
      </c>
      <c r="B17">
        <v>68572</v>
      </c>
      <c r="C17">
        <v>36234</v>
      </c>
      <c r="D17" s="1"/>
    </row>
    <row r="18" spans="1:4">
      <c r="A18">
        <v>2025</v>
      </c>
      <c r="B18">
        <v>43642</v>
      </c>
      <c r="C18">
        <v>41457</v>
      </c>
      <c r="D18" s="1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FF00"/>
  </sheetPr>
  <dimension ref="A1:D18"/>
  <sheetViews>
    <sheetView workbookViewId="0">
      <selection activeCell="D13" sqref="D13"/>
    </sheetView>
  </sheetViews>
  <sheetFormatPr baseColWidth="10" defaultColWidth="8.83203125" defaultRowHeight="15"/>
  <sheetData>
    <row r="1" spans="1:4">
      <c r="A1" s="1" t="s">
        <v>0</v>
      </c>
      <c r="B1" s="1" t="s">
        <v>568</v>
      </c>
      <c r="C1" s="1" t="s">
        <v>54</v>
      </c>
      <c r="D1" s="1"/>
    </row>
    <row r="2" spans="1:4">
      <c r="A2" s="1">
        <v>2009</v>
      </c>
      <c r="B2">
        <v>13362</v>
      </c>
      <c r="C2">
        <v>2621</v>
      </c>
      <c r="D2" s="1"/>
    </row>
    <row r="3" spans="1:4">
      <c r="A3" s="1">
        <v>2010</v>
      </c>
      <c r="B3">
        <v>3046</v>
      </c>
      <c r="C3">
        <v>1497</v>
      </c>
      <c r="D3" s="1"/>
    </row>
    <row r="4" spans="1:4">
      <c r="A4" s="1">
        <v>2011</v>
      </c>
      <c r="B4">
        <v>4170</v>
      </c>
      <c r="C4">
        <v>1245</v>
      </c>
      <c r="D4" s="1"/>
    </row>
    <row r="5" spans="1:4">
      <c r="A5" s="1">
        <v>2012</v>
      </c>
      <c r="B5">
        <v>4015</v>
      </c>
      <c r="C5">
        <v>988</v>
      </c>
      <c r="D5" s="1"/>
    </row>
    <row r="6" spans="1:4">
      <c r="A6" s="1">
        <v>2013</v>
      </c>
      <c r="B6">
        <v>6352</v>
      </c>
      <c r="C6">
        <v>956</v>
      </c>
      <c r="D6" s="1"/>
    </row>
    <row r="7" spans="1:4">
      <c r="A7" s="1">
        <v>2014</v>
      </c>
      <c r="B7">
        <v>7734</v>
      </c>
      <c r="C7">
        <v>1485</v>
      </c>
      <c r="D7" s="1"/>
    </row>
    <row r="8" spans="1:4">
      <c r="A8" s="1">
        <v>2015</v>
      </c>
      <c r="B8">
        <v>5371</v>
      </c>
      <c r="C8">
        <v>1078</v>
      </c>
      <c r="D8" s="1"/>
    </row>
    <row r="9" spans="1:4">
      <c r="A9" s="1">
        <v>2016</v>
      </c>
      <c r="B9">
        <v>8510</v>
      </c>
      <c r="C9">
        <v>1498</v>
      </c>
      <c r="D9" s="1"/>
    </row>
    <row r="10" spans="1:4">
      <c r="A10" s="1">
        <v>2017</v>
      </c>
      <c r="B10">
        <v>11502</v>
      </c>
      <c r="C10">
        <v>1334</v>
      </c>
      <c r="D10" s="1"/>
    </row>
    <row r="11" spans="1:4">
      <c r="A11" s="1">
        <v>2018</v>
      </c>
      <c r="B11">
        <v>22044</v>
      </c>
      <c r="C11">
        <v>2447</v>
      </c>
      <c r="D11" s="1"/>
    </row>
    <row r="12" spans="1:4">
      <c r="A12">
        <v>2019</v>
      </c>
      <c r="B12">
        <v>27923</v>
      </c>
      <c r="C12">
        <v>2634</v>
      </c>
    </row>
    <row r="13" spans="1:4">
      <c r="A13">
        <v>2020</v>
      </c>
      <c r="B13">
        <v>14944</v>
      </c>
      <c r="C13">
        <v>3331</v>
      </c>
    </row>
    <row r="14" spans="1:4">
      <c r="A14">
        <v>2021</v>
      </c>
      <c r="B14">
        <v>2932</v>
      </c>
      <c r="C14">
        <v>1141</v>
      </c>
    </row>
    <row r="15" spans="1:4">
      <c r="A15">
        <v>2022</v>
      </c>
      <c r="B15">
        <v>1821</v>
      </c>
      <c r="C15">
        <v>746</v>
      </c>
    </row>
    <row r="16" spans="1:4">
      <c r="A16">
        <v>2023</v>
      </c>
      <c r="B16">
        <v>3086</v>
      </c>
      <c r="C16">
        <v>883</v>
      </c>
    </row>
    <row r="17" spans="1:3">
      <c r="A17">
        <v>2024</v>
      </c>
      <c r="B17">
        <v>2173</v>
      </c>
      <c r="C17">
        <v>570</v>
      </c>
    </row>
    <row r="18" spans="1:3">
      <c r="A18">
        <v>2025</v>
      </c>
      <c r="B18">
        <v>1697</v>
      </c>
      <c r="C18">
        <v>730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19"/>
  <sheetViews>
    <sheetView workbookViewId="0">
      <selection activeCell="K6" sqref="K6:K23"/>
    </sheetView>
  </sheetViews>
  <sheetFormatPr baseColWidth="10" defaultColWidth="8.83203125" defaultRowHeight="15"/>
  <sheetData>
    <row r="1" spans="1:8">
      <c r="A1" s="7" t="s">
        <v>0</v>
      </c>
      <c r="B1" s="7" t="s">
        <v>567</v>
      </c>
      <c r="C1" s="7" t="s">
        <v>66</v>
      </c>
      <c r="D1" s="7" t="s">
        <v>64</v>
      </c>
      <c r="E1" s="7" t="s">
        <v>26</v>
      </c>
      <c r="F1" s="7" t="s">
        <v>65</v>
      </c>
    </row>
    <row r="2" spans="1:8">
      <c r="A2" s="7">
        <v>2008</v>
      </c>
      <c r="B2" s="7">
        <f>SUM(C2:D2)</f>
        <v>49205</v>
      </c>
      <c r="C2">
        <v>28113</v>
      </c>
      <c r="D2">
        <v>21092</v>
      </c>
      <c r="E2">
        <v>10729</v>
      </c>
      <c r="F2">
        <v>2063</v>
      </c>
      <c r="G2" s="25">
        <f>C2/B2</f>
        <v>0.57134437557158824</v>
      </c>
      <c r="H2">
        <f>SUM(C2:F2)</f>
        <v>61997</v>
      </c>
    </row>
    <row r="3" spans="1:8">
      <c r="A3" s="7">
        <v>2009</v>
      </c>
      <c r="B3" s="7">
        <f t="shared" ref="B3:B19" si="0">SUM(C3:D3)</f>
        <v>29502</v>
      </c>
      <c r="C3">
        <v>13461</v>
      </c>
      <c r="D3">
        <v>16041</v>
      </c>
      <c r="E3">
        <v>5356</v>
      </c>
      <c r="F3">
        <v>3389</v>
      </c>
      <c r="G3" s="25">
        <f t="shared" ref="G3:G19" si="1">C3/B3</f>
        <v>0.45627415090502338</v>
      </c>
      <c r="H3">
        <f t="shared" ref="H3:H19" si="2">SUM(C3:F3)</f>
        <v>38247</v>
      </c>
    </row>
    <row r="4" spans="1:8">
      <c r="A4" s="7">
        <v>2010</v>
      </c>
      <c r="B4" s="7">
        <f t="shared" si="0"/>
        <v>70237</v>
      </c>
      <c r="C4">
        <v>37580</v>
      </c>
      <c r="D4">
        <v>32657</v>
      </c>
      <c r="E4">
        <v>8439</v>
      </c>
      <c r="F4">
        <v>2736</v>
      </c>
      <c r="G4" s="25">
        <f t="shared" si="1"/>
        <v>0.53504563122001225</v>
      </c>
      <c r="H4">
        <f t="shared" si="2"/>
        <v>81412</v>
      </c>
    </row>
    <row r="5" spans="1:8">
      <c r="A5" s="7">
        <v>2011</v>
      </c>
      <c r="B5" s="7">
        <f t="shared" si="0"/>
        <v>59863</v>
      </c>
      <c r="C5">
        <v>41149</v>
      </c>
      <c r="D5">
        <v>18714</v>
      </c>
      <c r="E5">
        <v>10384</v>
      </c>
      <c r="F5">
        <v>2960</v>
      </c>
      <c r="G5" s="25">
        <f t="shared" si="1"/>
        <v>0.68738619848654425</v>
      </c>
      <c r="H5">
        <f t="shared" si="2"/>
        <v>73207</v>
      </c>
    </row>
    <row r="6" spans="1:8">
      <c r="A6" s="7">
        <v>2012</v>
      </c>
      <c r="B6" s="7">
        <f t="shared" si="0"/>
        <v>54581</v>
      </c>
      <c r="C6">
        <v>54579</v>
      </c>
      <c r="D6">
        <v>2</v>
      </c>
      <c r="E6">
        <v>8642</v>
      </c>
      <c r="F6">
        <v>3265</v>
      </c>
      <c r="G6" s="25">
        <f t="shared" si="1"/>
        <v>0.99996335721221674</v>
      </c>
      <c r="H6">
        <f t="shared" si="2"/>
        <v>66488</v>
      </c>
    </row>
    <row r="7" spans="1:8">
      <c r="A7" s="7">
        <v>2013</v>
      </c>
      <c r="B7" s="7">
        <f t="shared" si="0"/>
        <v>35203</v>
      </c>
      <c r="C7">
        <v>21461</v>
      </c>
      <c r="D7">
        <v>13742</v>
      </c>
      <c r="E7">
        <v>5874</v>
      </c>
      <c r="F7">
        <v>3075</v>
      </c>
      <c r="G7" s="25">
        <f t="shared" si="1"/>
        <v>0.60963554242536144</v>
      </c>
      <c r="H7">
        <f t="shared" si="2"/>
        <v>44152</v>
      </c>
    </row>
    <row r="8" spans="1:8">
      <c r="A8" s="7">
        <v>2014</v>
      </c>
      <c r="B8" s="7">
        <f t="shared" si="0"/>
        <v>62633</v>
      </c>
      <c r="C8">
        <v>27018</v>
      </c>
      <c r="D8">
        <v>35615</v>
      </c>
      <c r="E8">
        <v>4349</v>
      </c>
      <c r="F8">
        <v>4016</v>
      </c>
      <c r="G8" s="25">
        <f t="shared" si="1"/>
        <v>0.43137004454520778</v>
      </c>
      <c r="H8">
        <f t="shared" si="2"/>
        <v>70998</v>
      </c>
    </row>
    <row r="9" spans="1:8">
      <c r="A9" s="7">
        <v>2015</v>
      </c>
      <c r="B9" s="7">
        <f t="shared" si="0"/>
        <v>78938</v>
      </c>
      <c r="C9">
        <v>37715</v>
      </c>
      <c r="D9">
        <v>41223</v>
      </c>
      <c r="E9">
        <v>5999</v>
      </c>
      <c r="F9">
        <v>4362</v>
      </c>
      <c r="G9" s="25">
        <f t="shared" si="1"/>
        <v>0.47778002989688112</v>
      </c>
      <c r="H9">
        <f t="shared" si="2"/>
        <v>89299</v>
      </c>
    </row>
    <row r="10" spans="1:8">
      <c r="A10" s="7">
        <v>2016</v>
      </c>
      <c r="B10" s="7">
        <f t="shared" si="0"/>
        <v>115933</v>
      </c>
      <c r="C10">
        <v>57183</v>
      </c>
      <c r="D10">
        <v>58750</v>
      </c>
      <c r="E10">
        <v>5560</v>
      </c>
      <c r="F10">
        <v>4650</v>
      </c>
      <c r="G10" s="25">
        <f t="shared" si="1"/>
        <v>0.49324178620410064</v>
      </c>
      <c r="H10">
        <f t="shared" si="2"/>
        <v>126143</v>
      </c>
    </row>
    <row r="11" spans="1:8">
      <c r="A11" s="7">
        <v>2017</v>
      </c>
      <c r="B11" s="7">
        <f t="shared" si="0"/>
        <v>87609</v>
      </c>
      <c r="C11">
        <v>45529</v>
      </c>
      <c r="D11">
        <v>42080</v>
      </c>
      <c r="E11">
        <v>6413</v>
      </c>
      <c r="F11">
        <v>3581</v>
      </c>
      <c r="G11" s="25">
        <f t="shared" si="1"/>
        <v>0.51968405072538204</v>
      </c>
      <c r="H11">
        <f t="shared" si="2"/>
        <v>97603</v>
      </c>
    </row>
    <row r="12" spans="1:8">
      <c r="A12" s="7">
        <v>2018</v>
      </c>
      <c r="B12" s="7">
        <f t="shared" si="0"/>
        <v>109550</v>
      </c>
      <c r="C12">
        <v>37363</v>
      </c>
      <c r="D12">
        <v>72187</v>
      </c>
      <c r="E12">
        <v>6255</v>
      </c>
      <c r="F12">
        <v>3971</v>
      </c>
      <c r="G12" s="25">
        <f t="shared" si="1"/>
        <v>0.34105887722501144</v>
      </c>
      <c r="H12">
        <f t="shared" si="2"/>
        <v>119776</v>
      </c>
    </row>
    <row r="13" spans="1:8">
      <c r="A13" s="7">
        <v>2019</v>
      </c>
      <c r="B13" s="7">
        <f t="shared" si="0"/>
        <v>93865</v>
      </c>
      <c r="C13">
        <v>38210</v>
      </c>
      <c r="D13">
        <v>55655</v>
      </c>
      <c r="E13">
        <v>5535</v>
      </c>
      <c r="F13">
        <v>3255</v>
      </c>
      <c r="G13" s="25">
        <f t="shared" si="1"/>
        <v>0.40707398923986576</v>
      </c>
      <c r="H13">
        <f t="shared" si="2"/>
        <v>102655</v>
      </c>
    </row>
    <row r="14" spans="1:8">
      <c r="A14" s="7">
        <v>2020</v>
      </c>
      <c r="B14" s="7">
        <f t="shared" si="0"/>
        <v>86056</v>
      </c>
      <c r="C14">
        <v>32342</v>
      </c>
      <c r="D14">
        <v>53714</v>
      </c>
      <c r="E14">
        <v>4213</v>
      </c>
      <c r="F14">
        <v>3750</v>
      </c>
      <c r="G14" s="25">
        <f t="shared" si="1"/>
        <v>0.3758250441572929</v>
      </c>
      <c r="H14">
        <f t="shared" si="2"/>
        <v>94019</v>
      </c>
    </row>
    <row r="15" spans="1:8">
      <c r="A15" s="7">
        <v>2021</v>
      </c>
      <c r="B15" s="7">
        <f t="shared" si="0"/>
        <v>100552</v>
      </c>
      <c r="C15">
        <v>33071</v>
      </c>
      <c r="D15">
        <v>67481</v>
      </c>
      <c r="E15">
        <v>4141</v>
      </c>
      <c r="F15">
        <v>3571</v>
      </c>
      <c r="G15" s="25">
        <f t="shared" si="1"/>
        <v>0.32889450234704432</v>
      </c>
      <c r="H15">
        <f t="shared" si="2"/>
        <v>108264</v>
      </c>
    </row>
    <row r="16" spans="1:8">
      <c r="A16" s="7">
        <v>2022</v>
      </c>
      <c r="B16" s="7">
        <f t="shared" si="0"/>
        <v>94485</v>
      </c>
      <c r="C16">
        <v>54023</v>
      </c>
      <c r="D16">
        <v>40462</v>
      </c>
      <c r="E16">
        <v>4573</v>
      </c>
      <c r="F16">
        <v>5542</v>
      </c>
      <c r="G16" s="25">
        <f t="shared" si="1"/>
        <v>0.5717627136582526</v>
      </c>
      <c r="H16">
        <f t="shared" si="2"/>
        <v>104600</v>
      </c>
    </row>
    <row r="17" spans="1:8">
      <c r="A17" s="7">
        <v>2023</v>
      </c>
      <c r="B17" s="7">
        <f t="shared" si="0"/>
        <v>102286</v>
      </c>
      <c r="C17">
        <v>49571</v>
      </c>
      <c r="D17">
        <v>52715</v>
      </c>
      <c r="E17">
        <v>6364</v>
      </c>
      <c r="F17">
        <v>7777</v>
      </c>
      <c r="G17" s="25">
        <f t="shared" si="1"/>
        <v>0.48463132784545293</v>
      </c>
      <c r="H17">
        <f t="shared" si="2"/>
        <v>116427</v>
      </c>
    </row>
    <row r="18" spans="1:8">
      <c r="A18" s="7">
        <v>2024</v>
      </c>
      <c r="B18" s="7">
        <f t="shared" si="0"/>
        <v>86319</v>
      </c>
      <c r="C18">
        <v>50814</v>
      </c>
      <c r="D18">
        <v>35505</v>
      </c>
      <c r="E18">
        <v>4892</v>
      </c>
      <c r="F18">
        <v>1047</v>
      </c>
      <c r="G18" s="25">
        <f t="shared" si="1"/>
        <v>0.58867688457929312</v>
      </c>
      <c r="H18">
        <f t="shared" si="2"/>
        <v>92258</v>
      </c>
    </row>
    <row r="19" spans="1:8">
      <c r="A19" s="7">
        <v>2025</v>
      </c>
      <c r="B19" s="7">
        <f t="shared" si="0"/>
        <v>137753</v>
      </c>
      <c r="C19">
        <v>57073</v>
      </c>
      <c r="D19">
        <v>80680</v>
      </c>
      <c r="E19">
        <v>2615</v>
      </c>
      <c r="F19">
        <v>6688</v>
      </c>
      <c r="G19" s="25">
        <f t="shared" si="1"/>
        <v>0.41431402582883858</v>
      </c>
      <c r="H19">
        <f t="shared" si="2"/>
        <v>147056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HJ17"/>
  <sheetViews>
    <sheetView zoomScale="93" workbookViewId="0">
      <selection activeCell="L12" sqref="L12"/>
    </sheetView>
  </sheetViews>
  <sheetFormatPr baseColWidth="10" defaultColWidth="8.83203125" defaultRowHeight="15"/>
  <sheetData>
    <row r="1" spans="1:218">
      <c r="A1" s="7" t="s">
        <v>0</v>
      </c>
      <c r="B1" s="7" t="s">
        <v>68</v>
      </c>
      <c r="C1" s="7" t="s">
        <v>30</v>
      </c>
      <c r="D1" s="7" t="s">
        <v>61</v>
      </c>
      <c r="E1" s="7" t="s">
        <v>69</v>
      </c>
      <c r="F1" s="7" t="s">
        <v>57</v>
      </c>
      <c r="G1" s="7" t="s">
        <v>70</v>
      </c>
      <c r="H1" s="7" t="s">
        <v>59</v>
      </c>
      <c r="I1" s="7" t="s">
        <v>71</v>
      </c>
      <c r="J1" s="7" t="s">
        <v>56</v>
      </c>
      <c r="K1" s="7" t="s">
        <v>72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</row>
    <row r="2" spans="1:218">
      <c r="A2" s="7">
        <v>2008</v>
      </c>
      <c r="B2" s="7">
        <v>7198</v>
      </c>
      <c r="C2" s="7">
        <v>1210</v>
      </c>
      <c r="D2" s="7">
        <v>1263</v>
      </c>
      <c r="E2" s="7">
        <v>1023</v>
      </c>
      <c r="F2" s="7">
        <v>1746</v>
      </c>
      <c r="G2" s="7">
        <v>1144</v>
      </c>
      <c r="H2" s="7">
        <v>321</v>
      </c>
      <c r="I2" s="7">
        <v>29</v>
      </c>
      <c r="J2" s="7">
        <v>358</v>
      </c>
      <c r="K2" s="7">
        <v>374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</row>
    <row r="3" spans="1:218">
      <c r="A3" s="7">
        <v>2009</v>
      </c>
      <c r="B3" s="7">
        <v>6403</v>
      </c>
      <c r="C3" s="7">
        <v>1090</v>
      </c>
      <c r="D3" s="7">
        <v>1024</v>
      </c>
      <c r="E3" s="7">
        <v>872</v>
      </c>
      <c r="F3" s="7">
        <v>401</v>
      </c>
      <c r="G3" s="7">
        <v>958</v>
      </c>
      <c r="H3" s="7">
        <v>206</v>
      </c>
      <c r="I3" s="7">
        <v>42</v>
      </c>
      <c r="J3" s="7">
        <v>310</v>
      </c>
      <c r="K3" s="7">
        <v>247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</row>
    <row r="4" spans="1:218">
      <c r="A4" s="7">
        <v>2010</v>
      </c>
      <c r="B4" s="7">
        <v>14872</v>
      </c>
      <c r="C4" s="7">
        <v>1778</v>
      </c>
      <c r="D4" s="7">
        <v>1922</v>
      </c>
      <c r="E4" s="7">
        <v>1635</v>
      </c>
      <c r="F4" s="7">
        <v>1528</v>
      </c>
      <c r="G4" s="7">
        <v>1398</v>
      </c>
      <c r="H4" s="7">
        <v>356</v>
      </c>
      <c r="I4" s="7">
        <v>42</v>
      </c>
      <c r="J4" s="7">
        <v>586</v>
      </c>
      <c r="K4" s="7">
        <v>557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</row>
    <row r="5" spans="1:218">
      <c r="A5" s="7">
        <v>2011</v>
      </c>
      <c r="B5" s="7">
        <v>10527</v>
      </c>
      <c r="C5" s="7">
        <v>1029</v>
      </c>
      <c r="D5" s="7">
        <v>872</v>
      </c>
      <c r="E5" s="7">
        <v>956</v>
      </c>
      <c r="F5" s="7">
        <v>458</v>
      </c>
      <c r="G5" s="7">
        <v>494</v>
      </c>
      <c r="H5" s="7">
        <v>131</v>
      </c>
      <c r="I5" s="7">
        <v>21</v>
      </c>
      <c r="J5" s="7">
        <v>256</v>
      </c>
      <c r="K5" s="7">
        <v>238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</row>
    <row r="6" spans="1:218">
      <c r="A6" s="7">
        <v>2013</v>
      </c>
      <c r="B6" s="7">
        <v>8372</v>
      </c>
      <c r="C6" s="7">
        <v>779</v>
      </c>
      <c r="D6" s="7">
        <v>487</v>
      </c>
      <c r="E6" s="7">
        <v>603</v>
      </c>
      <c r="F6" s="7">
        <v>252</v>
      </c>
      <c r="G6" s="7">
        <v>364</v>
      </c>
      <c r="H6" s="7">
        <v>82</v>
      </c>
      <c r="I6" s="7">
        <v>25</v>
      </c>
      <c r="J6" s="7">
        <v>203</v>
      </c>
      <c r="K6" s="7">
        <v>164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</row>
    <row r="7" spans="1:218">
      <c r="A7" s="7">
        <v>2014</v>
      </c>
      <c r="B7" s="7">
        <v>20114</v>
      </c>
      <c r="C7" s="7">
        <v>2691</v>
      </c>
      <c r="D7" s="7">
        <v>1561</v>
      </c>
      <c r="E7" s="7">
        <v>1657</v>
      </c>
      <c r="F7" s="7">
        <v>666</v>
      </c>
      <c r="G7" s="7">
        <v>791</v>
      </c>
      <c r="H7" s="7">
        <v>268</v>
      </c>
      <c r="I7" s="7">
        <v>93</v>
      </c>
      <c r="J7" s="7">
        <v>544</v>
      </c>
      <c r="K7" s="7">
        <v>408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</row>
    <row r="8" spans="1:218">
      <c r="A8" s="7">
        <v>2015</v>
      </c>
      <c r="B8" s="7">
        <v>22713</v>
      </c>
      <c r="C8" s="7">
        <v>3583</v>
      </c>
      <c r="D8" s="7">
        <v>3274</v>
      </c>
      <c r="E8" s="7">
        <v>1482</v>
      </c>
      <c r="F8" s="7">
        <v>799</v>
      </c>
      <c r="G8" s="7">
        <v>882</v>
      </c>
      <c r="H8" s="7">
        <v>300</v>
      </c>
      <c r="I8" s="7">
        <v>117</v>
      </c>
      <c r="J8" s="7">
        <v>506</v>
      </c>
      <c r="K8" s="7">
        <v>377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</row>
    <row r="9" spans="1:218">
      <c r="A9" s="7">
        <v>2016</v>
      </c>
      <c r="B9" s="7">
        <v>33610</v>
      </c>
      <c r="C9" s="7">
        <v>5043</v>
      </c>
      <c r="D9" s="7">
        <v>3787</v>
      </c>
      <c r="E9" s="7">
        <v>1957</v>
      </c>
      <c r="F9" s="7">
        <v>1031</v>
      </c>
      <c r="G9" s="7">
        <v>791</v>
      </c>
      <c r="H9" s="7">
        <v>505</v>
      </c>
      <c r="I9" s="7">
        <v>624</v>
      </c>
      <c r="J9" s="7">
        <v>677</v>
      </c>
      <c r="K9" s="7">
        <v>596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</row>
    <row r="10" spans="1:218">
      <c r="A10" s="7">
        <v>2017</v>
      </c>
      <c r="B10" s="7">
        <v>23032</v>
      </c>
      <c r="C10" s="7">
        <v>3916</v>
      </c>
      <c r="D10" s="7">
        <v>2349</v>
      </c>
      <c r="E10" s="7">
        <v>1495</v>
      </c>
      <c r="F10" s="7">
        <v>1018</v>
      </c>
      <c r="G10" s="7">
        <v>548</v>
      </c>
      <c r="H10" s="7">
        <v>558</v>
      </c>
      <c r="I10" s="7">
        <v>625</v>
      </c>
      <c r="J10" s="7">
        <v>449</v>
      </c>
      <c r="K10" s="7">
        <v>417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</row>
    <row r="11" spans="1:218">
      <c r="A11" s="7">
        <v>2018</v>
      </c>
      <c r="B11" s="7">
        <v>38081</v>
      </c>
      <c r="C11" s="7">
        <v>7899</v>
      </c>
      <c r="D11" s="7">
        <v>2737</v>
      </c>
      <c r="E11" s="7">
        <v>2702</v>
      </c>
      <c r="F11" s="7">
        <v>2501</v>
      </c>
      <c r="G11" s="7">
        <v>988</v>
      </c>
      <c r="H11" s="7">
        <v>987</v>
      </c>
      <c r="I11" s="7">
        <v>795</v>
      </c>
      <c r="J11" s="7">
        <v>823</v>
      </c>
      <c r="K11" s="7">
        <v>693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</row>
    <row r="12" spans="1:218">
      <c r="A12" s="7">
        <v>2019</v>
      </c>
      <c r="B12" s="7">
        <v>29286</v>
      </c>
      <c r="C12" s="7">
        <v>6373</v>
      </c>
      <c r="D12" s="7">
        <v>1708</v>
      </c>
      <c r="E12" s="7">
        <v>1905</v>
      </c>
      <c r="F12" s="7">
        <v>1858</v>
      </c>
      <c r="G12" s="7">
        <v>939</v>
      </c>
      <c r="H12" s="7">
        <v>949</v>
      </c>
      <c r="I12" s="7">
        <v>598</v>
      </c>
      <c r="J12" s="7">
        <v>569</v>
      </c>
      <c r="K12" s="7">
        <v>561</v>
      </c>
    </row>
    <row r="13" spans="1:218">
      <c r="A13" s="7">
        <v>2020</v>
      </c>
      <c r="B13" s="7">
        <v>27859</v>
      </c>
      <c r="C13" s="7">
        <v>7021</v>
      </c>
      <c r="D13" s="7">
        <v>1544</v>
      </c>
      <c r="E13" s="7">
        <v>1778</v>
      </c>
      <c r="F13" s="7">
        <v>1849</v>
      </c>
      <c r="G13" s="7">
        <v>891</v>
      </c>
      <c r="H13" s="7">
        <v>1032</v>
      </c>
      <c r="I13" s="7">
        <v>688</v>
      </c>
      <c r="J13" s="7">
        <v>574</v>
      </c>
      <c r="K13" s="7">
        <v>506</v>
      </c>
    </row>
    <row r="14" spans="1:218">
      <c r="A14" s="7">
        <v>2021</v>
      </c>
      <c r="B14" s="7">
        <v>36414</v>
      </c>
      <c r="C14" s="7">
        <v>8202</v>
      </c>
      <c r="D14" s="7">
        <v>1741</v>
      </c>
      <c r="E14" s="7">
        <v>2114</v>
      </c>
      <c r="F14" s="7">
        <v>3045</v>
      </c>
      <c r="G14" s="7">
        <v>1220</v>
      </c>
      <c r="H14" s="7">
        <v>1428</v>
      </c>
      <c r="I14" s="7">
        <v>545</v>
      </c>
      <c r="J14" s="7">
        <v>638</v>
      </c>
      <c r="K14" s="7">
        <v>615</v>
      </c>
    </row>
    <row r="15" spans="1:218">
      <c r="A15" s="7">
        <v>2022</v>
      </c>
      <c r="B15" s="7">
        <v>22967</v>
      </c>
      <c r="C15" s="7">
        <v>4039</v>
      </c>
      <c r="D15" s="7">
        <v>945</v>
      </c>
      <c r="E15" s="7">
        <v>1001</v>
      </c>
      <c r="F15" s="7">
        <v>1779</v>
      </c>
      <c r="G15" s="7">
        <v>1039</v>
      </c>
      <c r="H15" s="7">
        <v>865</v>
      </c>
      <c r="I15" s="7">
        <v>390</v>
      </c>
      <c r="J15" s="7">
        <v>314</v>
      </c>
      <c r="K15" s="7">
        <v>383</v>
      </c>
    </row>
    <row r="16" spans="1:218">
      <c r="A16" s="7">
        <v>2023</v>
      </c>
      <c r="B16" s="7">
        <v>26639</v>
      </c>
      <c r="C16" s="7">
        <v>6750</v>
      </c>
      <c r="D16" s="7">
        <v>1022</v>
      </c>
      <c r="E16" s="7">
        <v>1345</v>
      </c>
      <c r="F16" s="7">
        <v>2163</v>
      </c>
      <c r="G16" s="7">
        <v>1406</v>
      </c>
      <c r="H16" s="7">
        <v>1271</v>
      </c>
      <c r="I16" s="7">
        <v>2081</v>
      </c>
      <c r="J16" s="7">
        <v>306</v>
      </c>
      <c r="K16" s="7">
        <v>531</v>
      </c>
    </row>
    <row r="17" spans="1:11">
      <c r="A17" s="7">
        <v>2024</v>
      </c>
      <c r="B17" s="7">
        <v>16173</v>
      </c>
      <c r="C17" s="7">
        <v>2813</v>
      </c>
      <c r="D17" s="7">
        <v>950</v>
      </c>
      <c r="E17" s="7">
        <v>935</v>
      </c>
      <c r="F17" s="7">
        <v>1389</v>
      </c>
      <c r="G17" s="7">
        <v>1673</v>
      </c>
      <c r="H17" s="7">
        <v>981</v>
      </c>
      <c r="I17" s="7">
        <v>1820</v>
      </c>
      <c r="J17" s="7">
        <v>235</v>
      </c>
      <c r="K17" s="7">
        <v>566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L13"/>
  <sheetViews>
    <sheetView workbookViewId="0">
      <selection activeCell="A2" sqref="A2"/>
    </sheetView>
  </sheetViews>
  <sheetFormatPr baseColWidth="10" defaultColWidth="8.83203125" defaultRowHeight="15"/>
  <sheetData>
    <row r="1" spans="1:12">
      <c r="A1" t="s">
        <v>0</v>
      </c>
      <c r="B1" s="29" t="s">
        <v>30</v>
      </c>
      <c r="C1" s="29" t="s">
        <v>55</v>
      </c>
      <c r="D1" s="29" t="s">
        <v>56</v>
      </c>
      <c r="E1" s="29" t="s">
        <v>57</v>
      </c>
      <c r="F1" s="29" t="s">
        <v>58</v>
      </c>
      <c r="G1" s="29" t="s">
        <v>59</v>
      </c>
      <c r="H1" s="29" t="s">
        <v>60</v>
      </c>
      <c r="I1" s="29" t="s">
        <v>370</v>
      </c>
      <c r="J1" s="29" t="s">
        <v>63</v>
      </c>
      <c r="K1" s="29" t="s">
        <v>62</v>
      </c>
      <c r="L1" s="29" t="s">
        <v>326</v>
      </c>
    </row>
    <row r="2" spans="1:12">
      <c r="A2">
        <v>2015</v>
      </c>
      <c r="B2" s="25">
        <v>0.11196164752698616</v>
      </c>
      <c r="C2" s="25">
        <v>6.4140124394867534E-2</v>
      </c>
      <c r="D2" s="25">
        <v>5.9327265036268784E-2</v>
      </c>
      <c r="E2" s="25">
        <v>2.5844052076642279E-2</v>
      </c>
      <c r="F2" s="25">
        <v>3.9389619138636041E-2</v>
      </c>
      <c r="G2" s="25">
        <v>4.077770292500274E-2</v>
      </c>
      <c r="H2" s="25">
        <v>2.5367779535947609E-2</v>
      </c>
      <c r="I2" s="25">
        <v>2.7852543514703346E-2</v>
      </c>
      <c r="J2" s="25">
        <v>2.0971658650456689E-2</v>
      </c>
      <c r="K2" s="25">
        <v>1.364270159331965E-2</v>
      </c>
      <c r="L2" s="25">
        <v>2.3895094706168043E-2</v>
      </c>
    </row>
    <row r="3" spans="1:12">
      <c r="A3">
        <v>2016</v>
      </c>
      <c r="B3" s="25">
        <v>0.11227137231810989</v>
      </c>
      <c r="C3" s="25">
        <v>6.0219090028091608E-2</v>
      </c>
      <c r="D3" s="25">
        <v>5.9890945669107819E-2</v>
      </c>
      <c r="E3" s="25">
        <v>2.7009040837105459E-2</v>
      </c>
      <c r="F3" s="25">
        <v>3.8546228486610483E-2</v>
      </c>
      <c r="G3" s="25">
        <v>2.5954072056821108E-2</v>
      </c>
      <c r="H3" s="25">
        <v>2.6797433727106565E-2</v>
      </c>
      <c r="I3" s="25">
        <v>2.6435554901311352E-2</v>
      </c>
      <c r="J3" s="25">
        <v>2.4153878236975429E-2</v>
      </c>
      <c r="K3" s="25">
        <v>1.4413817637605957E-2</v>
      </c>
      <c r="L3" s="25">
        <v>2.5073909150014107E-2</v>
      </c>
    </row>
    <row r="4" spans="1:12">
      <c r="A4">
        <v>2017</v>
      </c>
      <c r="B4" s="25">
        <v>0.11219015628870214</v>
      </c>
      <c r="C4" s="25">
        <v>5.3876406870178278E-2</v>
      </c>
      <c r="D4" s="25">
        <v>5.8543319216804508E-2</v>
      </c>
      <c r="E4" s="25">
        <v>2.5361421399529988E-2</v>
      </c>
      <c r="F4" s="25">
        <v>3.6604300204800426E-2</v>
      </c>
      <c r="G4" s="25">
        <v>3.1668549541766601E-2</v>
      </c>
      <c r="H4" s="25">
        <v>2.7780966247198342E-2</v>
      </c>
      <c r="I4" s="25">
        <v>2.717985585433192E-2</v>
      </c>
      <c r="J4" s="25">
        <v>2.6901955572202721E-2</v>
      </c>
      <c r="K4" s="25">
        <v>1.6707244135397852E-2</v>
      </c>
      <c r="L4" s="25">
        <v>2.4542823829345063E-2</v>
      </c>
    </row>
    <row r="5" spans="1:12">
      <c r="A5">
        <v>2018</v>
      </c>
      <c r="B5" s="25">
        <v>0.10963551764249709</v>
      </c>
      <c r="C5" s="25">
        <v>5.1609756688639007E-2</v>
      </c>
      <c r="D5" s="25">
        <v>5.5796214618069016E-2</v>
      </c>
      <c r="E5" s="25">
        <v>2.747855273361768E-2</v>
      </c>
      <c r="F5" s="25">
        <v>3.5257730709577356E-2</v>
      </c>
      <c r="G5" s="25">
        <v>3.662090442031795E-2</v>
      </c>
      <c r="H5" s="25">
        <v>2.9759596742923614E-2</v>
      </c>
      <c r="I5" s="25">
        <v>2.7166537417603723E-2</v>
      </c>
      <c r="J5" s="25">
        <v>2.811167119038387E-2</v>
      </c>
      <c r="K5" s="25">
        <v>1.9902336176812717E-2</v>
      </c>
      <c r="L5" s="25">
        <v>2.4334165374176039E-2</v>
      </c>
    </row>
    <row r="6" spans="1:12">
      <c r="A6">
        <v>2019</v>
      </c>
      <c r="B6" s="25">
        <v>0.10695080185482113</v>
      </c>
      <c r="C6" s="25">
        <v>4.9165300632108229E-2</v>
      </c>
      <c r="D6" s="25">
        <v>5.2658766060236901E-2</v>
      </c>
      <c r="E6" s="25">
        <v>3.0282672112889694E-2</v>
      </c>
      <c r="F6" s="25">
        <v>3.3856755973975174E-2</v>
      </c>
      <c r="G6" s="25">
        <v>3.8063843827166023E-2</v>
      </c>
      <c r="H6" s="25">
        <v>3.2002532015968421E-2</v>
      </c>
      <c r="I6" s="25">
        <v>2.792682234981831E-2</v>
      </c>
      <c r="J6" s="25">
        <v>2.7446097619964707E-2</v>
      </c>
      <c r="K6" s="25">
        <v>2.2050634347632655E-2</v>
      </c>
      <c r="L6" s="25">
        <v>2.9870622344443747E-2</v>
      </c>
    </row>
    <row r="7" spans="1:12">
      <c r="A7">
        <v>2020</v>
      </c>
      <c r="B7" s="25">
        <v>6.6055363321799301E-2</v>
      </c>
      <c r="C7" s="25">
        <v>6.3079584775086503E-2</v>
      </c>
      <c r="D7" s="25">
        <v>1.8996539792387544E-2</v>
      </c>
      <c r="E7" s="25">
        <v>3.1574394463667818E-2</v>
      </c>
      <c r="F7" s="25">
        <v>6.2422145328719723E-2</v>
      </c>
      <c r="G7" s="25">
        <v>5.4705882352941174E-2</v>
      </c>
      <c r="H7" s="25">
        <v>3.5397923875432523E-2</v>
      </c>
      <c r="I7" s="25">
        <v>7.3217993079584778E-2</v>
      </c>
      <c r="J7" s="25">
        <v>1.1539792387543253E-2</v>
      </c>
      <c r="K7" s="25">
        <v>2.8408304498269896E-2</v>
      </c>
      <c r="L7" s="25">
        <v>2.8529411764705883E-2</v>
      </c>
    </row>
    <row r="8" spans="1:12">
      <c r="A8">
        <v>2021</v>
      </c>
      <c r="B8" s="25">
        <v>2.2147317627022423E-2</v>
      </c>
      <c r="C8" s="25">
        <v>6.4362759012205506E-2</v>
      </c>
      <c r="D8" s="25">
        <v>1.7293499858075503E-2</v>
      </c>
      <c r="E8" s="25">
        <v>7.422651149588419E-2</v>
      </c>
      <c r="F8" s="25">
        <v>3.3919954584161228E-2</v>
      </c>
      <c r="G8" s="25">
        <v>3.6290093670167473E-2</v>
      </c>
      <c r="H8" s="25">
        <v>5.1759863752483676E-2</v>
      </c>
      <c r="I8" s="25">
        <v>3.3203235878512628E-2</v>
      </c>
      <c r="J8" s="25">
        <v>2.3304002270791938E-2</v>
      </c>
      <c r="K8" s="25">
        <v>6.1573942662503552E-2</v>
      </c>
      <c r="L8" s="25">
        <v>1.7570252625603178E-2</v>
      </c>
    </row>
    <row r="9" spans="1:12">
      <c r="A9">
        <v>2022</v>
      </c>
      <c r="B9" s="25">
        <v>2.3940298722487745E-2</v>
      </c>
      <c r="C9" s="25">
        <v>5.1071676829378097E-2</v>
      </c>
      <c r="D9" s="25">
        <v>4.5463877053401956E-2</v>
      </c>
      <c r="E9" s="25">
        <v>5.0063209303833255E-2</v>
      </c>
      <c r="F9" s="25">
        <v>3.8390197695651704E-2</v>
      </c>
      <c r="G9" s="25">
        <v>4.3364103598428232E-2</v>
      </c>
      <c r="H9" s="25">
        <v>4.0209040911366511E-2</v>
      </c>
      <c r="I9" s="25">
        <v>2.9159118167182307E-2</v>
      </c>
      <c r="J9" s="25">
        <v>3.2141300707007769E-2</v>
      </c>
      <c r="K9" s="25">
        <v>3.7298891766222822E-2</v>
      </c>
      <c r="L9" s="25">
        <v>3.3830483812295378E-2</v>
      </c>
    </row>
    <row r="10" spans="1:12">
      <c r="A10">
        <v>2023</v>
      </c>
      <c r="B10" s="25">
        <v>3.4006753161570563E-2</v>
      </c>
      <c r="C10" s="25">
        <v>4.3955786535842291E-2</v>
      </c>
      <c r="D10" s="25">
        <v>4.6532562754540312E-2</v>
      </c>
      <c r="E10" s="25">
        <v>5.4369978214528332E-2</v>
      </c>
      <c r="F10" s="25">
        <v>3.7286286530822596E-2</v>
      </c>
      <c r="G10" s="25">
        <v>3.8454201985790921E-2</v>
      </c>
      <c r="H10" s="25">
        <v>3.9083336958667843E-2</v>
      </c>
      <c r="I10" s="25">
        <v>2.9934108150979008E-2</v>
      </c>
      <c r="J10" s="25">
        <v>3.1289425512761739E-2</v>
      </c>
      <c r="K10" s="25">
        <v>4.1268577050628634E-2</v>
      </c>
      <c r="L10" s="25">
        <v>3.1523677896279738E-2</v>
      </c>
    </row>
    <row r="11" spans="1:12">
      <c r="A11">
        <v>2024</v>
      </c>
      <c r="B11" s="25">
        <v>4.4886540667033487E-2</v>
      </c>
      <c r="C11" s="25">
        <v>4.4518618202549605E-2</v>
      </c>
      <c r="D11" s="25">
        <v>5.0617513109309432E-2</v>
      </c>
      <c r="E11" s="25">
        <v>5.6249047047670822E-2</v>
      </c>
      <c r="F11" s="25">
        <v>3.5741512923690891E-2</v>
      </c>
      <c r="G11" s="25">
        <v>3.3855495966111357E-2</v>
      </c>
      <c r="H11" s="25">
        <v>4.0769786604970597E-2</v>
      </c>
      <c r="I11" s="25">
        <v>2.791901728241198E-2</v>
      </c>
      <c r="J11" s="25">
        <v>3.0139810536503876E-2</v>
      </c>
      <c r="K11" s="25">
        <v>3.940747910134109E-2</v>
      </c>
      <c r="L11" s="25">
        <v>2.6526878227608106E-2</v>
      </c>
    </row>
    <row r="12" spans="1:12">
      <c r="A12">
        <v>2025</v>
      </c>
      <c r="B12" s="25">
        <v>4.4643636363636365E-2</v>
      </c>
      <c r="C12" s="25">
        <v>4.3261818181818179E-2</v>
      </c>
      <c r="D12" s="25">
        <v>5.7629090909090908E-2</v>
      </c>
      <c r="E12" s="25">
        <v>5.6974545454545451E-2</v>
      </c>
      <c r="F12" s="25">
        <v>3.6269090909090911E-2</v>
      </c>
      <c r="G12" s="25">
        <v>3.3189090909090911E-2</v>
      </c>
      <c r="H12" s="25">
        <v>4.3665454545454542E-2</v>
      </c>
      <c r="I12" s="25">
        <v>2.6105454545454546E-2</v>
      </c>
      <c r="J12" s="25">
        <v>3.4756363636363634E-2</v>
      </c>
      <c r="K12" s="25">
        <v>3.2116363636363637E-2</v>
      </c>
      <c r="L12" s="25">
        <v>2.4534545454545455E-2</v>
      </c>
    </row>
    <row r="13" spans="1:12"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174E-FC33-8D43-8E2B-D143489A7490}">
  <sheetPr codeName="Sheet111"/>
  <dimension ref="A1:D40"/>
  <sheetViews>
    <sheetView workbookViewId="0"/>
  </sheetViews>
  <sheetFormatPr baseColWidth="10" defaultRowHeight="15"/>
  <sheetData>
    <row r="1" spans="1:3">
      <c r="A1" s="7" t="s">
        <v>73</v>
      </c>
      <c r="B1" s="7" t="s">
        <v>487</v>
      </c>
      <c r="C1" s="7"/>
    </row>
    <row r="2" spans="1:3">
      <c r="A2" s="7" t="s">
        <v>332</v>
      </c>
      <c r="B2" s="7">
        <v>14.1</v>
      </c>
      <c r="C2" s="7"/>
    </row>
    <row r="3" spans="1:3">
      <c r="A3" s="7" t="s">
        <v>488</v>
      </c>
      <c r="B3" s="7">
        <v>11.4</v>
      </c>
      <c r="C3" s="7"/>
    </row>
    <row r="4" spans="1:3">
      <c r="A4" s="7" t="s">
        <v>489</v>
      </c>
      <c r="B4" s="7">
        <v>9.6</v>
      </c>
      <c r="C4" s="7"/>
    </row>
    <row r="5" spans="1:3">
      <c r="A5" s="7" t="s">
        <v>148</v>
      </c>
      <c r="B5" s="7">
        <v>6.6</v>
      </c>
      <c r="C5" s="7"/>
    </row>
    <row r="6" spans="1:3">
      <c r="A6" s="7" t="s">
        <v>314</v>
      </c>
      <c r="B6" s="7">
        <v>6.5</v>
      </c>
      <c r="C6" s="7"/>
    </row>
    <row r="7" spans="1:3">
      <c r="A7" s="7" t="s">
        <v>373</v>
      </c>
      <c r="B7" s="7">
        <v>5.2</v>
      </c>
      <c r="C7" s="7"/>
    </row>
    <row r="8" spans="1:3">
      <c r="A8" s="7" t="s">
        <v>345</v>
      </c>
      <c r="B8" s="7">
        <v>5.2</v>
      </c>
      <c r="C8" s="7"/>
    </row>
    <row r="9" spans="1:3">
      <c r="A9" s="7" t="s">
        <v>490</v>
      </c>
      <c r="B9" s="7">
        <v>4.9000000000000004</v>
      </c>
      <c r="C9" s="7"/>
    </row>
    <row r="10" spans="1:3">
      <c r="A10" s="7" t="s">
        <v>62</v>
      </c>
      <c r="B10" s="7">
        <v>4</v>
      </c>
      <c r="C10" s="7"/>
    </row>
    <row r="11" spans="1:3">
      <c r="A11" s="7" t="s">
        <v>60</v>
      </c>
      <c r="B11" s="7">
        <v>3.8</v>
      </c>
      <c r="C11" s="7"/>
    </row>
    <row r="12" spans="1:3">
      <c r="A12" s="7" t="s">
        <v>322</v>
      </c>
      <c r="B12" s="7">
        <v>3.3</v>
      </c>
      <c r="C12" s="7"/>
    </row>
    <row r="13" spans="1:3">
      <c r="A13" s="7" t="s">
        <v>56</v>
      </c>
      <c r="B13" s="7">
        <v>2.8</v>
      </c>
      <c r="C13" s="7"/>
    </row>
    <row r="14" spans="1:3">
      <c r="A14" s="7" t="s">
        <v>347</v>
      </c>
      <c r="B14" s="7">
        <v>2.6</v>
      </c>
      <c r="C14" s="7"/>
    </row>
    <row r="15" spans="1:3">
      <c r="A15" s="7" t="s">
        <v>17</v>
      </c>
      <c r="B15" s="7">
        <v>2.6</v>
      </c>
      <c r="C15" s="7"/>
    </row>
    <row r="16" spans="1:3">
      <c r="A16" s="7" t="s">
        <v>344</v>
      </c>
      <c r="B16" s="7">
        <v>2.5</v>
      </c>
      <c r="C16" s="7"/>
    </row>
    <row r="17" spans="1:3">
      <c r="A17" s="7" t="s">
        <v>491</v>
      </c>
      <c r="B17" s="7">
        <v>2.1</v>
      </c>
      <c r="C17" s="7"/>
    </row>
    <row r="18" spans="1:3">
      <c r="A18" s="7" t="s">
        <v>346</v>
      </c>
      <c r="B18" s="7">
        <v>1.9</v>
      </c>
      <c r="C18" s="7"/>
    </row>
    <row r="19" spans="1:3">
      <c r="A19" s="7" t="s">
        <v>328</v>
      </c>
      <c r="B19" s="7">
        <v>1.8</v>
      </c>
      <c r="C19" s="7"/>
    </row>
    <row r="20" spans="1:3">
      <c r="A20" s="7" t="s">
        <v>69</v>
      </c>
      <c r="B20" s="7">
        <v>1.2</v>
      </c>
      <c r="C20" s="7"/>
    </row>
    <row r="21" spans="1:3">
      <c r="A21" s="7" t="s">
        <v>319</v>
      </c>
      <c r="B21" s="7">
        <v>0.8</v>
      </c>
      <c r="C21" s="7"/>
    </row>
    <row r="22" spans="1:3">
      <c r="A22" s="7" t="s">
        <v>492</v>
      </c>
      <c r="B22" s="7">
        <v>0.8</v>
      </c>
      <c r="C22" s="7"/>
    </row>
    <row r="23" spans="1:3">
      <c r="A23" s="7" t="s">
        <v>241</v>
      </c>
      <c r="B23" s="7">
        <v>0</v>
      </c>
      <c r="C23" s="7"/>
    </row>
    <row r="24" spans="1:3">
      <c r="A24" s="7" t="s">
        <v>493</v>
      </c>
      <c r="B24" s="7">
        <v>-0.3</v>
      </c>
      <c r="C24" s="7"/>
    </row>
    <row r="25" spans="1:3">
      <c r="A25" s="7" t="s">
        <v>498</v>
      </c>
      <c r="B25" s="7">
        <v>-0.4</v>
      </c>
      <c r="C25" s="7"/>
    </row>
    <row r="26" spans="1:3">
      <c r="A26" s="7" t="s">
        <v>178</v>
      </c>
      <c r="B26" s="7">
        <v>-0.5</v>
      </c>
      <c r="C26" s="7"/>
    </row>
    <row r="27" spans="1:3">
      <c r="A27" s="7" t="s">
        <v>494</v>
      </c>
      <c r="B27" s="7">
        <v>-1.1000000000000001</v>
      </c>
      <c r="C27" s="7"/>
    </row>
    <row r="28" spans="1:3">
      <c r="A28" s="7" t="s">
        <v>371</v>
      </c>
      <c r="B28" s="7">
        <v>-1.2</v>
      </c>
      <c r="C28" s="7"/>
    </row>
    <row r="29" spans="1:3">
      <c r="A29" s="7" t="s">
        <v>495</v>
      </c>
      <c r="B29" s="7">
        <v>-1.4</v>
      </c>
      <c r="C29" s="7"/>
    </row>
    <row r="30" spans="1:3">
      <c r="A30" s="7" t="s">
        <v>334</v>
      </c>
      <c r="B30" s="7">
        <v>-1.8</v>
      </c>
      <c r="C30" s="7"/>
    </row>
    <row r="31" spans="1:3">
      <c r="A31" s="7" t="s">
        <v>327</v>
      </c>
      <c r="B31" s="7">
        <v>-2.5</v>
      </c>
      <c r="C31" s="7"/>
    </row>
    <row r="32" spans="1:3">
      <c r="A32" s="7" t="s">
        <v>349</v>
      </c>
      <c r="B32" s="7">
        <v>-2.8</v>
      </c>
      <c r="C32" s="7"/>
    </row>
    <row r="33" spans="1:4">
      <c r="A33" s="7" t="s">
        <v>351</v>
      </c>
      <c r="B33" s="7">
        <v>-3.2</v>
      </c>
      <c r="C33" s="7"/>
    </row>
    <row r="34" spans="1:4">
      <c r="A34" s="7" t="s">
        <v>58</v>
      </c>
      <c r="B34" s="7">
        <v>-4.3</v>
      </c>
      <c r="C34" s="7"/>
    </row>
    <row r="35" spans="1:4">
      <c r="A35" s="7" t="s">
        <v>366</v>
      </c>
      <c r="B35" s="7">
        <v>-5</v>
      </c>
      <c r="C35" s="7"/>
    </row>
    <row r="36" spans="1:4">
      <c r="A36" s="7" t="s">
        <v>55</v>
      </c>
      <c r="B36" s="7">
        <v>-7.8</v>
      </c>
      <c r="C36" s="7"/>
    </row>
    <row r="37" spans="1:4">
      <c r="A37" s="7" t="s">
        <v>57</v>
      </c>
      <c r="B37" s="7">
        <v>-9.4</v>
      </c>
      <c r="C37" s="7"/>
    </row>
    <row r="38" spans="1:4">
      <c r="A38" s="7" t="s">
        <v>496</v>
      </c>
      <c r="B38" s="7">
        <v>-11.2</v>
      </c>
      <c r="C38" s="7"/>
    </row>
    <row r="39" spans="1:4">
      <c r="A39" s="7" t="s">
        <v>497</v>
      </c>
      <c r="B39" s="7">
        <v>-11.2</v>
      </c>
      <c r="C39" s="7"/>
    </row>
    <row r="40" spans="1:4">
      <c r="A40" s="7"/>
      <c r="B40" s="7"/>
      <c r="C40" s="7"/>
      <c r="D40" s="7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5A5C-DCA6-9E46-898F-0F2484E311E6}">
  <sheetPr codeName="Sheet113"/>
  <dimension ref="A1:J34"/>
  <sheetViews>
    <sheetView zoomScale="61" workbookViewId="0"/>
  </sheetViews>
  <sheetFormatPr baseColWidth="10" defaultRowHeight="15"/>
  <cols>
    <col min="1" max="1" width="5.5" customWidth="1"/>
    <col min="6" max="6" width="14.6640625" customWidth="1"/>
  </cols>
  <sheetData>
    <row r="1" spans="1:10" ht="16" customHeight="1">
      <c r="A1" s="50" t="s">
        <v>0</v>
      </c>
      <c r="B1" s="39" t="s">
        <v>58</v>
      </c>
      <c r="C1" s="39" t="s">
        <v>55</v>
      </c>
      <c r="D1" s="39" t="s">
        <v>163</v>
      </c>
      <c r="E1" s="39" t="s">
        <v>498</v>
      </c>
      <c r="F1" s="39" t="s">
        <v>56</v>
      </c>
      <c r="G1" s="39" t="s">
        <v>17</v>
      </c>
      <c r="H1" s="39" t="s">
        <v>493</v>
      </c>
      <c r="I1" s="39" t="s">
        <v>499</v>
      </c>
      <c r="J1" s="39" t="s">
        <v>30</v>
      </c>
    </row>
    <row r="2" spans="1:10">
      <c r="A2" s="50">
        <v>1991</v>
      </c>
      <c r="B2" s="53">
        <v>2.2961306920000002</v>
      </c>
      <c r="C2" s="54">
        <v>2.377944346</v>
      </c>
      <c r="D2" s="56">
        <v>2.6299135009999999</v>
      </c>
      <c r="E2" s="58">
        <v>1.653795409</v>
      </c>
      <c r="F2" s="53">
        <v>1.8723204609999999</v>
      </c>
      <c r="G2" s="57">
        <v>2.6207797859999999</v>
      </c>
      <c r="H2" s="56">
        <v>1.702671789</v>
      </c>
      <c r="I2" s="56">
        <v>2.1373163399999999</v>
      </c>
      <c r="J2" s="64">
        <v>0.72248979400000002</v>
      </c>
    </row>
    <row r="3" spans="1:10">
      <c r="A3" s="50">
        <v>1992</v>
      </c>
      <c r="B3" s="53">
        <v>2.3024795139999998</v>
      </c>
      <c r="C3" s="56">
        <v>2.2626302300000001</v>
      </c>
      <c r="D3" s="56">
        <v>2.5787609200000001</v>
      </c>
      <c r="E3" s="58">
        <v>1.7334786529999999</v>
      </c>
      <c r="F3" s="54">
        <v>1.8397131680000001</v>
      </c>
      <c r="G3" s="57">
        <v>2.543400047</v>
      </c>
      <c r="H3" s="56">
        <v>1.6816515889999999</v>
      </c>
      <c r="I3" s="56">
        <v>2.0908672099999999</v>
      </c>
      <c r="J3" s="64">
        <v>0.72550154600000005</v>
      </c>
    </row>
    <row r="4" spans="1:10">
      <c r="A4" s="50">
        <v>1993</v>
      </c>
      <c r="B4" s="53">
        <v>2.3336883080000002</v>
      </c>
      <c r="C4" s="57">
        <v>2.1978719290000002</v>
      </c>
      <c r="D4" s="56">
        <v>2.5246554890000001</v>
      </c>
      <c r="E4" s="58">
        <v>1.8825841759999999</v>
      </c>
      <c r="F4" s="53">
        <v>1.8635815149999999</v>
      </c>
      <c r="G4" s="57">
        <v>2.4225642729999999</v>
      </c>
      <c r="H4" s="56">
        <v>1.6577326990000001</v>
      </c>
      <c r="I4" s="56">
        <v>2.0339017940000002</v>
      </c>
      <c r="J4" s="64">
        <v>0.69238435799999998</v>
      </c>
    </row>
    <row r="5" spans="1:10">
      <c r="A5" s="50">
        <v>1994</v>
      </c>
      <c r="B5" s="53">
        <v>2.2817826430000001</v>
      </c>
      <c r="C5" s="57">
        <v>2.1165015710000001</v>
      </c>
      <c r="D5" s="56">
        <v>2.4714222939999999</v>
      </c>
      <c r="E5" s="58">
        <v>2.0438485489999998</v>
      </c>
      <c r="F5" s="53">
        <v>1.8363222560000001</v>
      </c>
      <c r="G5" s="57">
        <v>2.3276452139999999</v>
      </c>
      <c r="H5" s="56">
        <v>1.6092143169999999</v>
      </c>
      <c r="I5" s="56">
        <v>1.9813435749999999</v>
      </c>
      <c r="J5" s="64">
        <v>0.62678307600000005</v>
      </c>
    </row>
    <row r="6" spans="1:10">
      <c r="A6" s="50">
        <v>1995</v>
      </c>
      <c r="B6" s="53">
        <v>2.2493333510000002</v>
      </c>
      <c r="C6" s="53">
        <v>2.1292193400000001</v>
      </c>
      <c r="D6" s="56">
        <v>2.563019132</v>
      </c>
      <c r="E6" s="58">
        <v>2.0833330229999998</v>
      </c>
      <c r="F6" s="53">
        <v>1.647424121</v>
      </c>
      <c r="G6" s="57">
        <v>2.409581781</v>
      </c>
      <c r="H6" s="56">
        <v>1.5969064260000001</v>
      </c>
      <c r="I6" s="63">
        <v>2.0044054240000002</v>
      </c>
      <c r="J6" s="64">
        <v>0.56560528200000004</v>
      </c>
    </row>
    <row r="7" spans="1:10">
      <c r="A7" s="50">
        <v>1996</v>
      </c>
      <c r="B7" s="53">
        <v>2.2322332189999998</v>
      </c>
      <c r="C7" s="56">
        <v>2.1366271210000001</v>
      </c>
      <c r="D7" s="54">
        <v>2.643028325</v>
      </c>
      <c r="E7" s="58">
        <v>2.1371282759999999</v>
      </c>
      <c r="F7" s="53">
        <v>1.5753967339999999</v>
      </c>
      <c r="G7" s="57">
        <v>2.450130197</v>
      </c>
      <c r="H7" s="56">
        <v>1.6076553229999999</v>
      </c>
      <c r="I7" s="56">
        <v>2.02603088</v>
      </c>
      <c r="J7" s="64">
        <v>0.56013937000000003</v>
      </c>
    </row>
    <row r="8" spans="1:10">
      <c r="A8" s="50">
        <v>1997</v>
      </c>
      <c r="B8" s="54">
        <v>2.1521629560000002</v>
      </c>
      <c r="C8" s="53">
        <v>2.1816134260000002</v>
      </c>
      <c r="D8" s="53">
        <v>2.721765284</v>
      </c>
      <c r="E8" s="58">
        <v>2.1681169159999998</v>
      </c>
      <c r="F8" s="53">
        <v>1.537290029</v>
      </c>
      <c r="G8" s="57">
        <v>2.4771403310000002</v>
      </c>
      <c r="H8" s="56">
        <v>1.6251457250000001</v>
      </c>
      <c r="I8" s="56">
        <v>2.0452191759999998</v>
      </c>
      <c r="J8" s="64">
        <v>0.634665005</v>
      </c>
    </row>
    <row r="9" spans="1:10">
      <c r="A9" s="50">
        <v>1998</v>
      </c>
      <c r="B9" s="53">
        <v>2.1034371599999999</v>
      </c>
      <c r="C9" s="56">
        <v>2.2074831260000001</v>
      </c>
      <c r="D9" s="53">
        <v>2.8274513539999999</v>
      </c>
      <c r="E9" s="58">
        <v>2.0349991529999998</v>
      </c>
      <c r="F9" s="53">
        <v>1.547769508</v>
      </c>
      <c r="G9" s="61">
        <v>2.4962106149999999</v>
      </c>
      <c r="H9" s="56">
        <v>1.6329686619999999</v>
      </c>
      <c r="I9" s="56">
        <v>2.072023701</v>
      </c>
      <c r="J9" s="64">
        <v>0.64185297900000005</v>
      </c>
    </row>
    <row r="10" spans="1:10">
      <c r="A10" s="50">
        <v>1999</v>
      </c>
      <c r="B10" s="53">
        <v>2.1165065620000001</v>
      </c>
      <c r="C10" s="53">
        <v>2.3277191849999999</v>
      </c>
      <c r="D10" s="53">
        <v>2.8467178299999998</v>
      </c>
      <c r="E10" s="58">
        <v>1.943788353</v>
      </c>
      <c r="F10" s="53">
        <v>1.622685868</v>
      </c>
      <c r="G10" s="57">
        <v>2.5436156680000002</v>
      </c>
      <c r="H10" s="56">
        <v>1.68548276</v>
      </c>
      <c r="I10" s="56">
        <v>2.115884275</v>
      </c>
      <c r="J10" s="64">
        <v>0.74295050600000001</v>
      </c>
    </row>
    <row r="11" spans="1:10">
      <c r="A11" s="50">
        <v>2000</v>
      </c>
      <c r="B11" s="54">
        <v>2.100660779</v>
      </c>
      <c r="C11" s="53">
        <v>2.386541373</v>
      </c>
      <c r="D11" s="53">
        <v>2.8584081179999998</v>
      </c>
      <c r="E11" s="57">
        <v>2.0494054899999998</v>
      </c>
      <c r="F11" s="53">
        <v>1.6096268730000001</v>
      </c>
      <c r="G11" s="57">
        <v>2.6198347239999999</v>
      </c>
      <c r="H11" s="56">
        <v>1.715133316</v>
      </c>
      <c r="I11" s="56">
        <v>2.153975698</v>
      </c>
      <c r="J11" s="54">
        <v>0.88409572299999994</v>
      </c>
    </row>
    <row r="12" spans="1:10">
      <c r="A12" s="50">
        <v>2001</v>
      </c>
      <c r="B12" s="53">
        <v>2.1494017040000002</v>
      </c>
      <c r="C12" s="53">
        <v>2.3791955929999999</v>
      </c>
      <c r="D12" s="53">
        <v>2.9234849970000001</v>
      </c>
      <c r="E12" s="57">
        <v>2.1987188610000001</v>
      </c>
      <c r="F12" s="53">
        <v>1.5954490530000001</v>
      </c>
      <c r="G12" s="57">
        <v>2.6371467810000002</v>
      </c>
      <c r="H12" s="56">
        <v>1.735736454</v>
      </c>
      <c r="I12" s="56">
        <v>2.1875146189999999</v>
      </c>
      <c r="J12" s="53">
        <v>0.92948029200000004</v>
      </c>
    </row>
    <row r="13" spans="1:10">
      <c r="A13" s="50">
        <v>2002</v>
      </c>
      <c r="B13" s="53">
        <v>2.1875809080000002</v>
      </c>
      <c r="C13" s="53">
        <v>2.4085645599999999</v>
      </c>
      <c r="D13" s="53">
        <v>2.9651371919999998</v>
      </c>
      <c r="E13" s="57">
        <v>2.130415626</v>
      </c>
      <c r="F13" s="53">
        <v>1.613829999</v>
      </c>
      <c r="G13" s="57">
        <v>2.54745401</v>
      </c>
      <c r="H13" s="56">
        <v>1.743465408</v>
      </c>
      <c r="I13" s="56">
        <v>2.162773016</v>
      </c>
      <c r="J13" s="53">
        <v>1.0441814620000001</v>
      </c>
    </row>
    <row r="14" spans="1:10">
      <c r="A14" s="50">
        <v>2003</v>
      </c>
      <c r="B14" s="53">
        <v>2.1308526489999999</v>
      </c>
      <c r="C14" s="53">
        <v>2.4423229989999999</v>
      </c>
      <c r="D14" s="53">
        <v>2.993195203</v>
      </c>
      <c r="E14" s="57">
        <v>2.1965727639999999</v>
      </c>
      <c r="F14" s="53">
        <v>1.5813051220000001</v>
      </c>
      <c r="G14" s="61">
        <v>2.5501529710000002</v>
      </c>
      <c r="H14" s="56">
        <v>1.7365002439999999</v>
      </c>
      <c r="I14" s="56">
        <v>2.164885709</v>
      </c>
      <c r="J14" s="53">
        <v>1.104649035</v>
      </c>
    </row>
    <row r="15" spans="1:10">
      <c r="A15" s="50">
        <v>2004</v>
      </c>
      <c r="B15" s="54">
        <v>2.104382926</v>
      </c>
      <c r="C15" s="53">
        <v>2.4027763580000001</v>
      </c>
      <c r="D15" s="53">
        <v>2.9812459709999999</v>
      </c>
      <c r="E15" s="57">
        <v>2.3529206930000002</v>
      </c>
      <c r="F15" s="53">
        <v>1.5308886719999999</v>
      </c>
      <c r="G15" s="57">
        <v>2.4868554129999998</v>
      </c>
      <c r="H15" s="56">
        <v>1.7148764590000001</v>
      </c>
      <c r="I15" s="56">
        <v>2.1391327420000001</v>
      </c>
      <c r="J15" s="53">
        <v>1.1973171440000001</v>
      </c>
    </row>
    <row r="16" spans="1:10">
      <c r="A16" s="50">
        <v>2005</v>
      </c>
      <c r="B16" s="53">
        <v>2.0559967760000002</v>
      </c>
      <c r="C16" s="53">
        <v>2.4026593599999999</v>
      </c>
      <c r="D16" s="53">
        <v>3.1309189819999999</v>
      </c>
      <c r="E16" s="57">
        <v>2.4272516359999998</v>
      </c>
      <c r="F16" s="53">
        <v>1.550042216</v>
      </c>
      <c r="G16" s="57">
        <v>2.5019255399999998</v>
      </c>
      <c r="H16" s="56">
        <v>1.7125963399999999</v>
      </c>
      <c r="I16" s="56">
        <v>2.1668405769999999</v>
      </c>
      <c r="J16" s="53">
        <v>1.2900875949999999</v>
      </c>
    </row>
    <row r="17" spans="1:10">
      <c r="A17" s="50">
        <v>2006</v>
      </c>
      <c r="B17" s="53">
        <v>2.0533046540000002</v>
      </c>
      <c r="C17" s="53">
        <v>2.4304339330000002</v>
      </c>
      <c r="D17" s="53">
        <v>3.227655613</v>
      </c>
      <c r="E17" s="57">
        <v>2.6151541049999998</v>
      </c>
      <c r="F17" s="53">
        <v>1.576256863</v>
      </c>
      <c r="G17" s="57">
        <v>2.5454517550000002</v>
      </c>
      <c r="H17" s="56">
        <v>1.732842851</v>
      </c>
      <c r="I17" s="56">
        <v>2.1968376209999998</v>
      </c>
      <c r="J17" s="53">
        <v>1.3492309229999999</v>
      </c>
    </row>
    <row r="18" spans="1:10">
      <c r="A18" s="50">
        <v>2007</v>
      </c>
      <c r="B18" s="53">
        <v>2.0281524420000001</v>
      </c>
      <c r="C18" s="53">
        <v>2.4191825260000002</v>
      </c>
      <c r="D18" s="53">
        <v>3.2925719529999999</v>
      </c>
      <c r="E18" s="54">
        <v>2.758945599</v>
      </c>
      <c r="F18" s="53">
        <v>1.6182984739999999</v>
      </c>
      <c r="G18" s="57">
        <v>2.6151584730000001</v>
      </c>
      <c r="H18" s="56">
        <v>1.733352622</v>
      </c>
      <c r="I18" s="56">
        <v>2.2365456429999999</v>
      </c>
      <c r="J18" s="53">
        <v>1.3532154279999999</v>
      </c>
    </row>
    <row r="19" spans="1:10">
      <c r="A19" s="50">
        <v>2008</v>
      </c>
      <c r="B19" s="53">
        <v>2.063634623</v>
      </c>
      <c r="C19" s="53">
        <v>2.5719157840000002</v>
      </c>
      <c r="D19" s="54">
        <v>3.2922388119999999</v>
      </c>
      <c r="E19" s="53">
        <v>2.8677332500000001</v>
      </c>
      <c r="F19" s="56">
        <v>1.6090117340000001</v>
      </c>
      <c r="G19" s="57">
        <v>2.744812375</v>
      </c>
      <c r="H19" s="56">
        <v>1.80651363</v>
      </c>
      <c r="I19" s="56">
        <v>2.2778600130000002</v>
      </c>
      <c r="J19" s="53">
        <v>1.4233020199999999</v>
      </c>
    </row>
    <row r="20" spans="1:10">
      <c r="A20" s="50">
        <v>2009</v>
      </c>
      <c r="B20" s="53">
        <v>2.2127299969999998</v>
      </c>
      <c r="C20" s="53">
        <v>2.6896121850000001</v>
      </c>
      <c r="D20" s="53">
        <v>3.1958983179999998</v>
      </c>
      <c r="E20" s="53">
        <v>3.021455912</v>
      </c>
      <c r="F20" s="56">
        <v>1.6699100339999999</v>
      </c>
      <c r="G20" s="57">
        <v>2.7918091550000002</v>
      </c>
      <c r="H20" s="56">
        <v>1.8816203419999999</v>
      </c>
      <c r="I20" s="56">
        <v>2.3214654270000001</v>
      </c>
      <c r="J20" s="54">
        <v>1.6366017749999999</v>
      </c>
    </row>
    <row r="21" spans="1:10">
      <c r="A21" s="50">
        <v>2010</v>
      </c>
      <c r="B21" s="54">
        <v>2.1777152470000001</v>
      </c>
      <c r="C21" s="53">
        <v>2.6771413769999999</v>
      </c>
      <c r="D21" s="53">
        <v>3.1049513129999999</v>
      </c>
      <c r="E21" s="53">
        <v>3.179130089</v>
      </c>
      <c r="F21" s="56">
        <v>1.638864246</v>
      </c>
      <c r="G21" s="57">
        <v>2.7144380840000002</v>
      </c>
      <c r="H21" s="56">
        <v>1.885619274</v>
      </c>
      <c r="I21" s="56">
        <v>2.2819713720000001</v>
      </c>
      <c r="J21" s="53">
        <v>1.684560861</v>
      </c>
    </row>
    <row r="22" spans="1:10">
      <c r="A22" s="50">
        <v>2011</v>
      </c>
      <c r="B22" s="53">
        <v>2.187605273</v>
      </c>
      <c r="C22" s="53">
        <v>2.7510574600000002</v>
      </c>
      <c r="D22" s="53">
        <v>3.2053660179999999</v>
      </c>
      <c r="E22" s="53">
        <v>3.444101844</v>
      </c>
      <c r="F22" s="53">
        <v>1.6468100969999999</v>
      </c>
      <c r="G22" s="57">
        <v>2.7380278069999999</v>
      </c>
      <c r="H22" s="56">
        <v>1.9146739859999999</v>
      </c>
      <c r="I22" s="56">
        <v>2.3038268049999999</v>
      </c>
      <c r="J22" s="53">
        <v>1.752446261</v>
      </c>
    </row>
    <row r="23" spans="1:10">
      <c r="A23" s="50">
        <v>2012</v>
      </c>
      <c r="B23" s="53">
        <v>2.2276175010000001</v>
      </c>
      <c r="C23" s="53">
        <v>2.8260973539999998</v>
      </c>
      <c r="D23" s="53">
        <v>3.173705284</v>
      </c>
      <c r="E23" s="53">
        <v>3.6851910760000002</v>
      </c>
      <c r="F23" s="56">
        <v>1.5758746349999999</v>
      </c>
      <c r="G23" s="57">
        <v>2.6727254939999998</v>
      </c>
      <c r="H23" s="56">
        <v>1.9684910289999999</v>
      </c>
      <c r="I23" s="56">
        <v>2.2996592090000001</v>
      </c>
      <c r="J23" s="53">
        <v>1.8809515290000001</v>
      </c>
    </row>
    <row r="24" spans="1:10">
      <c r="A24" s="50">
        <v>2013</v>
      </c>
      <c r="B24" s="53">
        <v>2.2336881910000002</v>
      </c>
      <c r="C24" s="53">
        <v>2.781443017</v>
      </c>
      <c r="D24" s="54">
        <v>3.2789560299999998</v>
      </c>
      <c r="E24" s="53">
        <v>3.7748747420000002</v>
      </c>
      <c r="F24" s="53">
        <v>1.620957234</v>
      </c>
      <c r="G24" s="57">
        <v>2.6959157989999998</v>
      </c>
      <c r="H24" s="56">
        <v>1.9735381830000001</v>
      </c>
      <c r="I24" s="56">
        <v>2.322190151</v>
      </c>
      <c r="J24" s="53">
        <v>1.962460673</v>
      </c>
    </row>
    <row r="25" spans="1:10">
      <c r="A25" s="50">
        <v>2014</v>
      </c>
      <c r="B25" s="54">
        <v>2.2717234550000001</v>
      </c>
      <c r="C25" s="53">
        <v>2.8228384270000002</v>
      </c>
      <c r="D25" s="53">
        <v>3.3678751990000002</v>
      </c>
      <c r="E25" s="53">
        <v>3.889821059</v>
      </c>
      <c r="F25" s="59">
        <v>2.2648796199999999</v>
      </c>
      <c r="G25" s="57">
        <v>2.7088099830000001</v>
      </c>
      <c r="H25" s="56">
        <v>1.9964502799999999</v>
      </c>
      <c r="I25" s="56">
        <v>2.3453159979999998</v>
      </c>
      <c r="J25" s="53">
        <v>1.9847467320000001</v>
      </c>
    </row>
    <row r="26" spans="1:10">
      <c r="A26" s="50">
        <v>2015</v>
      </c>
      <c r="B26" s="53">
        <v>2.2240126930000002</v>
      </c>
      <c r="C26" s="53">
        <v>2.8759622999999999</v>
      </c>
      <c r="D26" s="53">
        <v>3.2407072960000001</v>
      </c>
      <c r="E26" s="53">
        <v>3.7890786479999998</v>
      </c>
      <c r="F26" s="60">
        <v>2.2756590179999998</v>
      </c>
      <c r="G26" s="61">
        <v>2.7732794369999998</v>
      </c>
      <c r="H26" s="56">
        <v>1.998161547</v>
      </c>
      <c r="I26" s="56">
        <v>2.3592622890000001</v>
      </c>
      <c r="J26" s="53">
        <v>2.0170324060000002</v>
      </c>
    </row>
    <row r="27" spans="1:10">
      <c r="A27" s="50">
        <v>2016</v>
      </c>
      <c r="B27" s="53">
        <v>2.224683926</v>
      </c>
      <c r="C27" s="53">
        <v>2.8847417229999999</v>
      </c>
      <c r="D27" s="53">
        <v>3.1066564579999998</v>
      </c>
      <c r="E27" s="53">
        <v>3.786389673</v>
      </c>
      <c r="F27" s="60">
        <v>2.3205164580000002</v>
      </c>
      <c r="G27" s="61">
        <v>2.836763988</v>
      </c>
      <c r="H27" s="56">
        <v>1.979228872</v>
      </c>
      <c r="I27" s="56">
        <v>2.3553558190000001</v>
      </c>
      <c r="J27" s="53">
        <v>2.0594971850000001</v>
      </c>
    </row>
    <row r="28" spans="1:10">
      <c r="A28" s="50">
        <v>2017</v>
      </c>
      <c r="B28" s="53">
        <v>2.2042164249999998</v>
      </c>
      <c r="C28" s="53">
        <v>2.9868085959999999</v>
      </c>
      <c r="D28" s="53">
        <v>3.1663561589999998</v>
      </c>
      <c r="E28" s="53">
        <v>4.0734053609999998</v>
      </c>
      <c r="F28" s="60">
        <v>2.3260162630000001</v>
      </c>
      <c r="G28" s="57">
        <v>2.8831483740000001</v>
      </c>
      <c r="H28" s="56">
        <v>2.0165603120000002</v>
      </c>
      <c r="I28" s="56">
        <v>2.3958298130000002</v>
      </c>
      <c r="J28" s="53">
        <v>2.077706488</v>
      </c>
    </row>
    <row r="29" spans="1:10">
      <c r="A29" s="50">
        <v>2018</v>
      </c>
      <c r="B29" s="53">
        <v>2.2040680949999998</v>
      </c>
      <c r="C29" s="53">
        <v>3.0479944849999998</v>
      </c>
      <c r="D29" s="54">
        <v>3.2191960150000001</v>
      </c>
      <c r="E29" s="53">
        <v>4.2715398100000002</v>
      </c>
      <c r="F29" s="59">
        <v>2.7088803440000002</v>
      </c>
      <c r="G29" s="57">
        <v>2.9895554510000002</v>
      </c>
      <c r="H29" s="56">
        <v>2.0574770760000001</v>
      </c>
      <c r="I29" s="56">
        <v>2.472520523</v>
      </c>
      <c r="J29" s="53">
        <v>2.102320196</v>
      </c>
    </row>
    <row r="30" spans="1:10">
      <c r="A30" s="50">
        <v>2019</v>
      </c>
      <c r="B30" s="53">
        <v>2.1966803970000002</v>
      </c>
      <c r="C30" s="53">
        <v>3.110452381</v>
      </c>
      <c r="D30" s="53">
        <v>3.2182373960000001</v>
      </c>
      <c r="E30" s="53">
        <v>4.3637815279999996</v>
      </c>
      <c r="F30" s="55">
        <v>2.670698292</v>
      </c>
      <c r="G30" s="57">
        <v>3.1429692</v>
      </c>
      <c r="H30" s="56">
        <v>2.0915731009999998</v>
      </c>
      <c r="I30" s="56">
        <v>2.5397055270000002</v>
      </c>
      <c r="J30" s="53">
        <v>2.2014300609999999</v>
      </c>
    </row>
    <row r="31" spans="1:10">
      <c r="A31" s="50">
        <v>2020</v>
      </c>
      <c r="B31" s="53">
        <v>2.2742014739999998</v>
      </c>
      <c r="C31" s="53">
        <v>3.0887168759999999</v>
      </c>
      <c r="D31" s="53">
        <v>3.26555705</v>
      </c>
      <c r="E31" s="53">
        <v>4.5214088490000002</v>
      </c>
      <c r="F31" s="55">
        <v>2.939933044</v>
      </c>
      <c r="G31" s="57">
        <v>3.4178767969999999</v>
      </c>
      <c r="H31" s="56">
        <v>2.1632048190000002</v>
      </c>
      <c r="I31" s="56">
        <v>2.6969528899999999</v>
      </c>
      <c r="J31" s="53">
        <v>2.3571239770000001</v>
      </c>
    </row>
    <row r="32" spans="1:10">
      <c r="A32" s="50">
        <v>2021</v>
      </c>
      <c r="B32" s="53">
        <v>2.2127829000000001</v>
      </c>
      <c r="C32" s="53">
        <v>3.0736862540000001</v>
      </c>
      <c r="D32" s="53">
        <v>3.2738269400000002</v>
      </c>
      <c r="E32" s="53">
        <v>4.5967258009999998</v>
      </c>
      <c r="F32" s="55">
        <v>2.89967533</v>
      </c>
      <c r="G32" s="61">
        <v>3.468907851</v>
      </c>
      <c r="H32" s="56">
        <v>2.1204740989999999</v>
      </c>
      <c r="I32" s="56">
        <v>2.6840092659999999</v>
      </c>
      <c r="J32" s="53">
        <v>2.381645893</v>
      </c>
    </row>
    <row r="33" spans="1:10">
      <c r="A33" s="50">
        <v>2022</v>
      </c>
      <c r="B33" s="53">
        <v>2.220574912</v>
      </c>
      <c r="C33" s="55">
        <v>3.0436046110000001</v>
      </c>
      <c r="D33" s="53">
        <v>3.4005321980000001</v>
      </c>
      <c r="E33" s="53">
        <v>4.8475301259999997</v>
      </c>
      <c r="F33" s="55">
        <v>2.7522395259999999</v>
      </c>
      <c r="G33" s="57">
        <v>3.4873562169999999</v>
      </c>
      <c r="H33" s="56">
        <v>2.104600375</v>
      </c>
      <c r="I33" s="56">
        <v>2.6717131240000001</v>
      </c>
      <c r="J33" s="53">
        <v>2.494501536</v>
      </c>
    </row>
    <row r="34" spans="1:10">
      <c r="A34" s="50">
        <v>2023</v>
      </c>
      <c r="B34" s="55">
        <v>2.1751658890000001</v>
      </c>
      <c r="C34" s="55">
        <v>3.128664165</v>
      </c>
      <c r="D34" s="53">
        <v>3.4412493400000002</v>
      </c>
      <c r="E34" s="55">
        <v>4.958960136</v>
      </c>
      <c r="F34" s="55">
        <v>2.6761401380000001</v>
      </c>
      <c r="G34" s="62">
        <v>3.4471629130000001</v>
      </c>
      <c r="H34" s="56">
        <v>2.1421470330000001</v>
      </c>
      <c r="I34" s="56">
        <v>2.7030959139999999</v>
      </c>
      <c r="J34" s="53">
        <v>2.5772848779999999</v>
      </c>
    </row>
  </sheetData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8"/>
  <dimension ref="A1:H17"/>
  <sheetViews>
    <sheetView workbookViewId="0">
      <selection activeCell="A2" sqref="A2"/>
    </sheetView>
  </sheetViews>
  <sheetFormatPr baseColWidth="10" defaultColWidth="8.83203125" defaultRowHeight="15"/>
  <sheetData>
    <row r="1" spans="1:8">
      <c r="A1" s="21" t="s">
        <v>0</v>
      </c>
      <c r="B1" s="13" t="s">
        <v>69</v>
      </c>
      <c r="C1" s="13" t="s">
        <v>57</v>
      </c>
      <c r="D1" s="13" t="s">
        <v>370</v>
      </c>
      <c r="E1" s="13" t="s">
        <v>317</v>
      </c>
      <c r="F1" s="13" t="s">
        <v>30</v>
      </c>
      <c r="G1" s="13" t="s">
        <v>423</v>
      </c>
      <c r="H1" s="13" t="s">
        <v>68</v>
      </c>
    </row>
    <row r="2" spans="1:8">
      <c r="A2" s="21">
        <v>2009</v>
      </c>
      <c r="B2" s="13">
        <v>33</v>
      </c>
      <c r="C2" s="13">
        <v>31</v>
      </c>
      <c r="D2" s="13">
        <v>31</v>
      </c>
      <c r="E2" s="13">
        <v>36</v>
      </c>
      <c r="F2" s="13">
        <v>46</v>
      </c>
      <c r="G2" s="13">
        <v>42</v>
      </c>
      <c r="H2" s="13">
        <v>74</v>
      </c>
    </row>
    <row r="3" spans="1:8">
      <c r="A3" s="21">
        <v>2010</v>
      </c>
      <c r="B3" s="13">
        <v>34</v>
      </c>
      <c r="C3" s="13">
        <v>31</v>
      </c>
      <c r="D3" s="13">
        <v>29</v>
      </c>
      <c r="E3" s="13">
        <v>34</v>
      </c>
      <c r="F3" s="13">
        <v>43</v>
      </c>
      <c r="G3" s="13">
        <v>39</v>
      </c>
      <c r="H3" s="13">
        <v>73</v>
      </c>
    </row>
    <row r="4" spans="1:8">
      <c r="A4" s="21">
        <v>2011</v>
      </c>
      <c r="B4" s="13">
        <v>35</v>
      </c>
      <c r="C4" s="13">
        <v>31</v>
      </c>
      <c r="D4" s="13">
        <v>30</v>
      </c>
      <c r="E4" s="13">
        <v>38</v>
      </c>
      <c r="F4" s="13">
        <v>42</v>
      </c>
      <c r="G4" s="13">
        <v>33</v>
      </c>
      <c r="H4" s="13">
        <v>75</v>
      </c>
    </row>
    <row r="5" spans="1:8">
      <c r="A5" s="21">
        <v>2012</v>
      </c>
      <c r="B5" s="13">
        <v>34</v>
      </c>
      <c r="C5" s="13">
        <v>30</v>
      </c>
      <c r="D5" s="13">
        <v>28</v>
      </c>
      <c r="E5" s="13">
        <v>38</v>
      </c>
      <c r="F5" s="13">
        <v>41</v>
      </c>
      <c r="G5" s="13">
        <v>38</v>
      </c>
      <c r="H5" s="13">
        <v>75</v>
      </c>
    </row>
    <row r="6" spans="1:8">
      <c r="A6" s="21">
        <v>2013</v>
      </c>
      <c r="B6" s="13">
        <v>36</v>
      </c>
      <c r="C6" s="13">
        <v>32</v>
      </c>
      <c r="D6" s="13">
        <v>30</v>
      </c>
      <c r="E6" s="13">
        <v>39</v>
      </c>
      <c r="F6" s="13">
        <v>42</v>
      </c>
      <c r="G6" s="13">
        <v>41</v>
      </c>
      <c r="H6" s="13">
        <v>79</v>
      </c>
    </row>
    <row r="7" spans="1:8">
      <c r="A7" s="21">
        <v>2014</v>
      </c>
      <c r="B7" s="13">
        <v>37</v>
      </c>
      <c r="C7" s="13">
        <v>27</v>
      </c>
      <c r="D7" s="13">
        <v>31</v>
      </c>
      <c r="E7" s="13">
        <v>38</v>
      </c>
      <c r="F7" s="13">
        <v>42</v>
      </c>
      <c r="G7" s="13">
        <v>43</v>
      </c>
      <c r="H7" s="13">
        <v>80</v>
      </c>
    </row>
    <row r="8" spans="1:8">
      <c r="A8" s="21">
        <v>2015</v>
      </c>
      <c r="B8" s="13">
        <v>36</v>
      </c>
      <c r="C8" s="13">
        <v>30</v>
      </c>
      <c r="D8" s="13">
        <v>31</v>
      </c>
      <c r="E8" s="13">
        <v>39</v>
      </c>
      <c r="F8" s="13">
        <v>43</v>
      </c>
      <c r="G8" s="13">
        <v>45</v>
      </c>
      <c r="H8" s="13">
        <v>80</v>
      </c>
    </row>
    <row r="9" spans="1:8">
      <c r="A9" s="21">
        <v>2016</v>
      </c>
      <c r="B9" s="13">
        <v>39</v>
      </c>
      <c r="C9" s="13">
        <v>33</v>
      </c>
      <c r="D9" s="13">
        <v>33</v>
      </c>
      <c r="E9" s="13">
        <v>41</v>
      </c>
      <c r="F9" s="13">
        <v>44</v>
      </c>
      <c r="G9" s="13">
        <v>51</v>
      </c>
      <c r="H9" s="13">
        <v>80</v>
      </c>
    </row>
    <row r="10" spans="1:8">
      <c r="A10" s="21">
        <v>2017</v>
      </c>
      <c r="B10" s="13">
        <v>39</v>
      </c>
      <c r="C10" s="13">
        <v>35</v>
      </c>
      <c r="D10" s="13">
        <v>35</v>
      </c>
      <c r="E10" s="13">
        <v>43</v>
      </c>
      <c r="F10" s="13">
        <v>46</v>
      </c>
      <c r="G10" s="13">
        <v>54</v>
      </c>
      <c r="H10" s="13">
        <v>81</v>
      </c>
    </row>
    <row r="11" spans="1:8">
      <c r="A11" s="21">
        <v>2018</v>
      </c>
      <c r="B11" s="13">
        <v>38</v>
      </c>
      <c r="C11" s="13">
        <v>35</v>
      </c>
      <c r="D11" s="13">
        <v>37</v>
      </c>
      <c r="E11" s="13">
        <v>44</v>
      </c>
      <c r="F11" s="13">
        <v>48</v>
      </c>
      <c r="G11" s="13">
        <v>54</v>
      </c>
      <c r="H11" s="13">
        <v>80</v>
      </c>
    </row>
    <row r="12" spans="1:8">
      <c r="A12" s="21">
        <v>2019</v>
      </c>
      <c r="B12" s="13">
        <v>41</v>
      </c>
      <c r="C12" s="13">
        <v>37</v>
      </c>
      <c r="D12" s="13">
        <v>40</v>
      </c>
      <c r="E12" s="13">
        <v>46</v>
      </c>
      <c r="F12" s="13">
        <v>49</v>
      </c>
      <c r="G12" s="13">
        <v>54</v>
      </c>
      <c r="H12" s="13">
        <v>78</v>
      </c>
    </row>
    <row r="13" spans="1:8">
      <c r="A13" s="21">
        <v>2020</v>
      </c>
      <c r="B13" s="13">
        <v>40</v>
      </c>
      <c r="C13" s="13">
        <v>39</v>
      </c>
      <c r="D13" s="13">
        <v>43</v>
      </c>
      <c r="E13" s="13">
        <v>51</v>
      </c>
      <c r="F13" s="13">
        <v>50</v>
      </c>
      <c r="G13" s="13">
        <v>58</v>
      </c>
      <c r="H13" s="13">
        <v>78</v>
      </c>
    </row>
    <row r="14" spans="1:8">
      <c r="A14" s="21">
        <v>2021</v>
      </c>
      <c r="B14" s="13">
        <v>40</v>
      </c>
      <c r="C14" s="13">
        <v>38</v>
      </c>
      <c r="D14" s="13">
        <v>43</v>
      </c>
      <c r="E14" s="13">
        <v>53</v>
      </c>
      <c r="F14" s="13">
        <v>52</v>
      </c>
      <c r="G14" s="13">
        <v>56</v>
      </c>
      <c r="H14" s="13">
        <v>76</v>
      </c>
    </row>
    <row r="15" spans="1:8">
      <c r="A15" s="21">
        <v>2022</v>
      </c>
      <c r="B15" s="13">
        <v>39</v>
      </c>
      <c r="C15" s="13">
        <v>38</v>
      </c>
      <c r="D15" s="13">
        <v>44</v>
      </c>
      <c r="E15" s="13">
        <v>53</v>
      </c>
      <c r="F15" s="13">
        <v>51</v>
      </c>
      <c r="G15" s="13">
        <v>58</v>
      </c>
      <c r="H15" s="13">
        <v>76</v>
      </c>
    </row>
    <row r="16" spans="1:8">
      <c r="A16" s="21">
        <v>2023</v>
      </c>
      <c r="B16" s="13">
        <v>40</v>
      </c>
      <c r="C16" s="13">
        <v>38</v>
      </c>
      <c r="D16" s="13">
        <v>44</v>
      </c>
      <c r="E16" s="13">
        <v>53</v>
      </c>
      <c r="F16" s="13">
        <v>52</v>
      </c>
      <c r="G16" s="13">
        <v>57</v>
      </c>
      <c r="H16" s="13">
        <v>76</v>
      </c>
    </row>
    <row r="17" spans="1:8">
      <c r="A17" s="21">
        <v>2024</v>
      </c>
      <c r="B17" s="13">
        <v>39</v>
      </c>
      <c r="C17" s="13">
        <v>39</v>
      </c>
      <c r="D17" s="13">
        <v>45</v>
      </c>
      <c r="E17" s="13">
        <v>52</v>
      </c>
      <c r="F17" s="13">
        <v>53</v>
      </c>
      <c r="G17" s="13">
        <v>58</v>
      </c>
      <c r="H17" s="13">
        <v>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9"/>
  <dimension ref="A1:N18"/>
  <sheetViews>
    <sheetView zoomScale="90" workbookViewId="0">
      <selection activeCell="M45" sqref="M45"/>
    </sheetView>
  </sheetViews>
  <sheetFormatPr baseColWidth="10" defaultColWidth="8.83203125" defaultRowHeight="15"/>
  <sheetData>
    <row r="1" spans="1:14">
      <c r="A1" s="97" t="s">
        <v>522</v>
      </c>
      <c r="B1" s="98" t="s">
        <v>527</v>
      </c>
      <c r="C1" s="98" t="s">
        <v>528</v>
      </c>
      <c r="D1" s="98" t="s">
        <v>529</v>
      </c>
      <c r="E1" s="98" t="s">
        <v>530</v>
      </c>
      <c r="F1" s="98" t="s">
        <v>531</v>
      </c>
      <c r="G1" s="98" t="s">
        <v>523</v>
      </c>
      <c r="H1" s="98" t="s">
        <v>524</v>
      </c>
      <c r="I1" s="98" t="s">
        <v>525</v>
      </c>
      <c r="J1" s="98" t="s">
        <v>526</v>
      </c>
      <c r="K1" s="98" t="s">
        <v>532</v>
      </c>
      <c r="L1" s="98" t="s">
        <v>534</v>
      </c>
      <c r="M1" s="98" t="s">
        <v>533</v>
      </c>
      <c r="N1" s="98" t="s">
        <v>2</v>
      </c>
    </row>
    <row r="2" spans="1:14">
      <c r="A2" s="98">
        <v>2009</v>
      </c>
      <c r="B2" s="99">
        <v>4.5206275421266706E-2</v>
      </c>
      <c r="C2" s="99">
        <v>0.10395119116792563</v>
      </c>
      <c r="D2" s="99">
        <v>1.0807669959325973E-2</v>
      </c>
      <c r="E2" s="99">
        <v>0.1068274259151656</v>
      </c>
      <c r="F2" s="99">
        <v>1.5456130156885531E-2</v>
      </c>
      <c r="G2" s="99">
        <v>4.2475305055200467E-2</v>
      </c>
      <c r="H2" s="99">
        <v>1.3219058686809995E-2</v>
      </c>
      <c r="I2" s="99">
        <v>1.6472980825101687E-2</v>
      </c>
      <c r="J2" s="99">
        <v>4.997094712376525E-2</v>
      </c>
      <c r="K2" s="99">
        <v>1.031377106333527E-2</v>
      </c>
      <c r="L2" s="99">
        <v>0.41470075537478213</v>
      </c>
      <c r="M2" s="99">
        <v>0.58529924462521787</v>
      </c>
      <c r="N2" s="99">
        <v>1</v>
      </c>
    </row>
    <row r="3" spans="1:14">
      <c r="A3" s="98">
        <v>2010</v>
      </c>
      <c r="B3" s="99">
        <v>0.19207392535958856</v>
      </c>
      <c r="C3" s="99">
        <v>0.19732680619344903</v>
      </c>
      <c r="D3" s="99">
        <v>7.8380682599488456E-3</v>
      </c>
      <c r="E3" s="99">
        <v>8.8226396413739999E-2</v>
      </c>
      <c r="F3" s="99">
        <v>2.2084101097329556E-2</v>
      </c>
      <c r="G3" s="99">
        <v>3.7980253568383707E-2</v>
      </c>
      <c r="H3" s="99">
        <v>1.050576166772091E-2</v>
      </c>
      <c r="I3" s="99">
        <v>1.7518770110833037E-2</v>
      </c>
      <c r="J3" s="99">
        <v>4.3728170292346193E-2</v>
      </c>
      <c r="K3" s="99">
        <v>9.9007178020406473E-3</v>
      </c>
      <c r="L3" s="99">
        <v>0.62718297076538054</v>
      </c>
      <c r="M3" s="99">
        <v>0.37281702923461946</v>
      </c>
      <c r="N3" s="99">
        <v>1</v>
      </c>
    </row>
    <row r="4" spans="1:14">
      <c r="A4" s="98">
        <v>2011</v>
      </c>
      <c r="B4" s="99">
        <v>0.17285688503880167</v>
      </c>
      <c r="C4" s="99">
        <v>0.1802021295794983</v>
      </c>
      <c r="D4" s="99">
        <v>3.4109366540335681E-2</v>
      </c>
      <c r="E4" s="99">
        <v>0.10066774950369969</v>
      </c>
      <c r="F4" s="99">
        <v>2.086266016964447E-2</v>
      </c>
      <c r="G4" s="99">
        <v>3.6076520483667211E-2</v>
      </c>
      <c r="H4" s="99">
        <v>2.9074174336762317E-2</v>
      </c>
      <c r="I4" s="99">
        <v>2.9976538530951093E-2</v>
      </c>
      <c r="J4" s="99">
        <v>3.1564699512723338E-2</v>
      </c>
      <c r="K4" s="99">
        <v>1.1857065511640497E-2</v>
      </c>
      <c r="L4" s="99">
        <v>0.64724778920772419</v>
      </c>
      <c r="M4" s="99">
        <v>0.35275221079227581</v>
      </c>
      <c r="N4" s="99">
        <v>1</v>
      </c>
    </row>
    <row r="5" spans="1:14">
      <c r="A5" s="98">
        <v>2012</v>
      </c>
      <c r="B5" s="99">
        <v>0.2134807512987878</v>
      </c>
      <c r="C5" s="99">
        <v>0.13147728786465965</v>
      </c>
      <c r="D5" s="99">
        <v>9.2247235913147735E-2</v>
      </c>
      <c r="E5" s="99">
        <v>9.5177834021579866E-2</v>
      </c>
      <c r="F5" s="99">
        <v>1.6864260023977621E-2</v>
      </c>
      <c r="G5" s="99">
        <v>6.4206740375649394E-3</v>
      </c>
      <c r="H5" s="99">
        <v>3.8404156120953777E-2</v>
      </c>
      <c r="I5" s="99">
        <v>5.8332223258292258E-2</v>
      </c>
      <c r="J5" s="99">
        <v>1.5398960969761556E-2</v>
      </c>
      <c r="K5" s="99">
        <v>8.0325029972026108E-3</v>
      </c>
      <c r="L5" s="99">
        <v>0.67583588650592785</v>
      </c>
      <c r="M5" s="99">
        <v>0.32416411349407215</v>
      </c>
      <c r="N5" s="99">
        <v>1</v>
      </c>
    </row>
    <row r="6" spans="1:14">
      <c r="A6" s="98">
        <v>2013</v>
      </c>
      <c r="B6" s="99">
        <v>0.16151112968962275</v>
      </c>
      <c r="C6" s="99">
        <v>0.1680295746681994</v>
      </c>
      <c r="D6" s="99">
        <v>7.4459191138049954E-2</v>
      </c>
      <c r="E6" s="99">
        <v>9.1310481764029686E-2</v>
      </c>
      <c r="F6" s="99">
        <v>2.1710732573936669E-2</v>
      </c>
      <c r="G6" s="99">
        <v>5.4995297314243911E-3</v>
      </c>
      <c r="H6" s="99">
        <v>3.5714285714285712E-2</v>
      </c>
      <c r="I6" s="99">
        <v>5.524349461803741E-2</v>
      </c>
      <c r="J6" s="99">
        <v>1.5427421883164386E-2</v>
      </c>
      <c r="K6" s="99">
        <v>1.3690040756609886E-2</v>
      </c>
      <c r="L6" s="99">
        <v>0.64259588253736022</v>
      </c>
      <c r="M6" s="99">
        <v>0.35740411746263978</v>
      </c>
      <c r="N6" s="99">
        <v>1</v>
      </c>
    </row>
    <row r="7" spans="1:14">
      <c r="A7" s="98">
        <v>2014</v>
      </c>
      <c r="B7" s="99">
        <v>0.19525690871173618</v>
      </c>
      <c r="C7" s="99">
        <v>0.10849585529694099</v>
      </c>
      <c r="D7" s="99">
        <v>9.2346708864739113E-2</v>
      </c>
      <c r="E7" s="99">
        <v>9.6926317554467997E-2</v>
      </c>
      <c r="F7" s="99">
        <v>2.087547027446213E-2</v>
      </c>
      <c r="G7" s="99">
        <v>3.9717887720989702E-3</v>
      </c>
      <c r="H7" s="99">
        <v>2.8756169896146631E-2</v>
      </c>
      <c r="I7" s="99">
        <v>4.7787221110214516E-2</v>
      </c>
      <c r="J7" s="99">
        <v>1.1380903974932669E-2</v>
      </c>
      <c r="K7" s="99">
        <v>1.662073085105268E-2</v>
      </c>
      <c r="L7" s="99">
        <v>0.62241807530679183</v>
      </c>
      <c r="M7" s="99">
        <v>0.37758192469320817</v>
      </c>
      <c r="N7" s="99">
        <v>1</v>
      </c>
    </row>
    <row r="8" spans="1:14">
      <c r="A8" s="98">
        <v>2015</v>
      </c>
      <c r="B8" s="99">
        <v>0.20491152040447816</v>
      </c>
      <c r="C8" s="99">
        <v>0.11201396412664018</v>
      </c>
      <c r="D8" s="99">
        <v>9.7026604068857589E-2</v>
      </c>
      <c r="E8" s="99">
        <v>7.8632478632478631E-2</v>
      </c>
      <c r="F8" s="99">
        <v>2.7723606596846032E-2</v>
      </c>
      <c r="G8" s="99">
        <v>5.0439388467557484E-3</v>
      </c>
      <c r="H8" s="99">
        <v>3.8593956903816055E-2</v>
      </c>
      <c r="I8" s="99">
        <v>3.2201757553870232E-2</v>
      </c>
      <c r="J8" s="99">
        <v>1.1123149151318165E-2</v>
      </c>
      <c r="K8" s="99">
        <v>1.7587576742506321E-2</v>
      </c>
      <c r="L8" s="99">
        <v>0.6248585530275671</v>
      </c>
      <c r="M8" s="99">
        <v>0.3751414469724329</v>
      </c>
      <c r="N8" s="99">
        <v>1</v>
      </c>
    </row>
    <row r="9" spans="1:14">
      <c r="A9" s="98">
        <v>2016</v>
      </c>
      <c r="B9" s="99">
        <v>0.20080691851208568</v>
      </c>
      <c r="C9" s="99">
        <v>0.1252713851498046</v>
      </c>
      <c r="D9" s="99">
        <v>0.10537885366912722</v>
      </c>
      <c r="E9" s="99">
        <v>6.4770589086698513E-2</v>
      </c>
      <c r="F9" s="99">
        <v>2.4144232160949484E-2</v>
      </c>
      <c r="G9" s="99">
        <v>6.2328122738457082E-3</v>
      </c>
      <c r="H9" s="99">
        <v>3.6944565060066582E-2</v>
      </c>
      <c r="I9" s="99">
        <v>3.3217542336083372E-2</v>
      </c>
      <c r="J9" s="99">
        <v>3.1308800115791E-2</v>
      </c>
      <c r="K9" s="99">
        <v>1.8879360254740195E-2</v>
      </c>
      <c r="L9" s="99">
        <v>0.64695505861919234</v>
      </c>
      <c r="M9" s="99">
        <v>0.35304494138080766</v>
      </c>
      <c r="N9" s="99">
        <v>1</v>
      </c>
    </row>
    <row r="10" spans="1:14">
      <c r="A10" s="98">
        <v>2017</v>
      </c>
      <c r="B10" s="99">
        <v>0.22075915559661805</v>
      </c>
      <c r="C10" s="99">
        <v>0.10740599840063353</v>
      </c>
      <c r="D10" s="99">
        <v>0.11159851243390967</v>
      </c>
      <c r="E10" s="99">
        <v>5.3081886010201786E-2</v>
      </c>
      <c r="F10" s="99">
        <v>2.1801072973035924E-2</v>
      </c>
      <c r="G10" s="99">
        <v>3.0155045380082453E-2</v>
      </c>
      <c r="H10" s="99">
        <v>3.8206225106947926E-2</v>
      </c>
      <c r="I10" s="99">
        <v>2.4293289648372296E-2</v>
      </c>
      <c r="J10" s="99">
        <v>3.0092934061070956E-2</v>
      </c>
      <c r="K10" s="99">
        <v>2.589265611291838E-2</v>
      </c>
      <c r="L10" s="99">
        <v>0.66328677572379091</v>
      </c>
      <c r="M10" s="99">
        <v>0.33671322427620909</v>
      </c>
      <c r="N10" s="99">
        <v>1</v>
      </c>
    </row>
    <row r="11" spans="1:14">
      <c r="A11" s="98">
        <v>2018</v>
      </c>
      <c r="B11" s="99">
        <v>0.11198404397635785</v>
      </c>
      <c r="C11" s="99">
        <v>7.2519640989468045E-2</v>
      </c>
      <c r="D11" s="99">
        <v>0.1067180697103106</v>
      </c>
      <c r="E11" s="99">
        <v>3.8430666699097608E-2</v>
      </c>
      <c r="F11" s="99">
        <v>4.1398097925230463E-2</v>
      </c>
      <c r="G11" s="99">
        <v>6.9892734658137334E-2</v>
      </c>
      <c r="H11" s="99">
        <v>3.1924208887699757E-2</v>
      </c>
      <c r="I11" s="99">
        <v>3.1522875975968673E-2</v>
      </c>
      <c r="J11" s="99">
        <v>3.2349865006202419E-2</v>
      </c>
      <c r="K11" s="99">
        <v>3.5475397076350543E-2</v>
      </c>
      <c r="L11" s="99">
        <v>0.57221560090482326</v>
      </c>
      <c r="M11" s="99">
        <v>0.42778439909517674</v>
      </c>
      <c r="N11" s="99">
        <v>1</v>
      </c>
    </row>
    <row r="12" spans="1:14">
      <c r="A12" s="98">
        <v>2019</v>
      </c>
      <c r="B12" s="99">
        <v>0.1366821348094949</v>
      </c>
      <c r="C12" s="99">
        <v>5.6652501826338374E-2</v>
      </c>
      <c r="D12" s="99">
        <v>7.829075306876293E-2</v>
      </c>
      <c r="E12" s="99">
        <v>3.2195001491938387E-2</v>
      </c>
      <c r="F12" s="99">
        <v>6.2229264628713123E-2</v>
      </c>
      <c r="G12" s="99">
        <v>6.6242064431159903E-2</v>
      </c>
      <c r="H12" s="99">
        <v>2.8676084742100445E-2</v>
      </c>
      <c r="I12" s="99">
        <v>3.0034263136774739E-2</v>
      </c>
      <c r="J12" s="99">
        <v>3.0209180051240368E-2</v>
      </c>
      <c r="K12" s="99">
        <v>3.6382718208850799E-2</v>
      </c>
      <c r="L12" s="99">
        <v>0.55759396639537395</v>
      </c>
      <c r="M12" s="99">
        <v>0.44240603360462605</v>
      </c>
      <c r="N12" s="99">
        <v>1</v>
      </c>
    </row>
    <row r="13" spans="1:14">
      <c r="A13" s="98">
        <v>2020</v>
      </c>
      <c r="B13" s="99">
        <v>0.13458099131323453</v>
      </c>
      <c r="C13" s="99">
        <v>8.9778450981823493E-2</v>
      </c>
      <c r="D13" s="99">
        <v>7.6848675085772686E-2</v>
      </c>
      <c r="E13" s="99">
        <v>3.2730491276735531E-2</v>
      </c>
      <c r="F13" s="99">
        <v>5.3069567121687714E-2</v>
      </c>
      <c r="G13" s="99">
        <v>5.0295642017665523E-2</v>
      </c>
      <c r="H13" s="99">
        <v>4.220198554639025E-2</v>
      </c>
      <c r="I13" s="99">
        <v>3.7283743338929851E-2</v>
      </c>
      <c r="J13" s="99">
        <v>2.8724724432440323E-2</v>
      </c>
      <c r="K13" s="99">
        <v>4.3442952040294913E-2</v>
      </c>
      <c r="L13" s="99">
        <v>0.58895722315497478</v>
      </c>
      <c r="M13" s="99">
        <v>0.41104277684502522</v>
      </c>
      <c r="N13" s="99">
        <v>1</v>
      </c>
    </row>
    <row r="14" spans="1:14">
      <c r="A14" s="98">
        <v>2021</v>
      </c>
      <c r="B14" s="99">
        <v>9.599058402990443E-2</v>
      </c>
      <c r="C14" s="99">
        <v>9.670985952331651E-2</v>
      </c>
      <c r="D14" s="99">
        <v>0.11469174685861877</v>
      </c>
      <c r="E14" s="99">
        <v>3.1942370775618741E-2</v>
      </c>
      <c r="F14" s="99">
        <v>7.0434507786702127E-2</v>
      </c>
      <c r="G14" s="99">
        <v>4.2284680521801676E-2</v>
      </c>
      <c r="H14" s="99">
        <v>3.5865691648775594E-2</v>
      </c>
      <c r="I14" s="99">
        <v>2.8095336697217713E-2</v>
      </c>
      <c r="J14" s="99">
        <v>3.4230974618293573E-2</v>
      </c>
      <c r="K14" s="99">
        <v>3.2421887771226801E-2</v>
      </c>
      <c r="L14" s="99">
        <v>0.58266764023147588</v>
      </c>
      <c r="M14" s="99">
        <v>0.41733235976852412</v>
      </c>
      <c r="N14" s="99">
        <v>1</v>
      </c>
    </row>
    <row r="15" spans="1:14">
      <c r="A15" s="98">
        <v>2022</v>
      </c>
      <c r="B15" s="99">
        <v>6.7861857797401795E-2</v>
      </c>
      <c r="C15" s="99">
        <v>7.8800519198127333E-2</v>
      </c>
      <c r="D15" s="99">
        <v>0.11060695148603823</v>
      </c>
      <c r="E15" s="99">
        <v>2.5161140017084725E-2</v>
      </c>
      <c r="F15" s="99">
        <v>9.3378005081041507E-2</v>
      </c>
      <c r="G15" s="99">
        <v>5.8298849554576822E-2</v>
      </c>
      <c r="H15" s="99">
        <v>3.7919213658904584E-2</v>
      </c>
      <c r="I15" s="99">
        <v>2.418487003405851E-2</v>
      </c>
      <c r="J15" s="99">
        <v>3.3980851795560194E-2</v>
      </c>
      <c r="K15" s="99">
        <v>3.4613208489111265E-2</v>
      </c>
      <c r="L15" s="99">
        <v>0.56480546711190494</v>
      </c>
      <c r="M15" s="99">
        <v>0.43519453288809506</v>
      </c>
      <c r="N15" s="99">
        <v>1</v>
      </c>
    </row>
    <row r="16" spans="1:14">
      <c r="A16" s="98">
        <v>2023</v>
      </c>
      <c r="B16" s="99">
        <v>0.10048295154650058</v>
      </c>
      <c r="C16" s="99">
        <v>9.3660931067243741E-2</v>
      </c>
      <c r="D16" s="99">
        <v>9.2961575002639074E-2</v>
      </c>
      <c r="E16" s="99">
        <v>3.1840494035680351E-2</v>
      </c>
      <c r="F16" s="99">
        <v>7.1835743692600026E-2</v>
      </c>
      <c r="G16" s="99">
        <v>4.9034096906998836E-2</v>
      </c>
      <c r="H16" s="99">
        <v>4.0166789823709491E-2</v>
      </c>
      <c r="I16" s="99">
        <v>2.8145782750976459E-2</v>
      </c>
      <c r="J16" s="99">
        <v>3.2289137548822969E-2</v>
      </c>
      <c r="K16" s="99">
        <v>3.7211020795946376E-2</v>
      </c>
      <c r="L16" s="99">
        <v>0.5776285231711179</v>
      </c>
      <c r="M16" s="99">
        <v>0.4223714768288821</v>
      </c>
      <c r="N16" s="99">
        <v>1</v>
      </c>
    </row>
    <row r="17" spans="1:14">
      <c r="A17" s="98">
        <v>2024</v>
      </c>
      <c r="B17" s="99">
        <v>9.8290711190954241E-2</v>
      </c>
      <c r="C17" s="99">
        <v>0.10386505336574026</v>
      </c>
      <c r="D17" s="99">
        <v>9.884550354010356E-2</v>
      </c>
      <c r="E17" s="99">
        <v>2.1531226883652117E-2</v>
      </c>
      <c r="F17" s="99">
        <v>7.0379372292084963E-2</v>
      </c>
      <c r="G17" s="99">
        <v>4.509669238085174E-2</v>
      </c>
      <c r="H17" s="99">
        <v>4.1305611328331396E-2</v>
      </c>
      <c r="I17" s="99">
        <v>2.8188735073443938E-2</v>
      </c>
      <c r="J17" s="99">
        <v>3.8082531966606784E-2</v>
      </c>
      <c r="K17" s="99">
        <v>3.6708760435379899E-2</v>
      </c>
      <c r="L17" s="99">
        <v>0.58229419845714891</v>
      </c>
      <c r="M17" s="99">
        <v>0.41770580154285109</v>
      </c>
      <c r="N17" s="99">
        <v>1</v>
      </c>
    </row>
    <row r="18" spans="1:14">
      <c r="A18" s="98">
        <v>2025</v>
      </c>
      <c r="B18" s="99">
        <v>5.9665102585334438E-2</v>
      </c>
      <c r="C18" s="99">
        <v>4.3671604256754683E-2</v>
      </c>
      <c r="D18" s="99">
        <v>9.2633483607814274E-2</v>
      </c>
      <c r="E18" s="99">
        <v>2.7647437666758673E-2</v>
      </c>
      <c r="F18" s="99">
        <v>8.3387002790811793E-2</v>
      </c>
      <c r="G18" s="99">
        <v>6.0355138467200295E-2</v>
      </c>
      <c r="H18" s="99">
        <v>3.6847916091636762E-2</v>
      </c>
      <c r="I18" s="99">
        <v>2.8245468764375746E-2</v>
      </c>
      <c r="J18" s="99">
        <v>3.0576256632011533E-2</v>
      </c>
      <c r="K18" s="99">
        <v>3.3029717545312358E-2</v>
      </c>
      <c r="L18" s="99">
        <v>0.49605912840801053</v>
      </c>
      <c r="M18" s="99">
        <v>0.50394087159198953</v>
      </c>
      <c r="N18" s="99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0"/>
  <dimension ref="A1:J4"/>
  <sheetViews>
    <sheetView workbookViewId="0"/>
  </sheetViews>
  <sheetFormatPr baseColWidth="10" defaultColWidth="8.83203125" defaultRowHeight="15"/>
  <sheetData>
    <row r="1" spans="1:10">
      <c r="A1" t="s">
        <v>0</v>
      </c>
      <c r="B1" t="s">
        <v>538</v>
      </c>
      <c r="C1" t="s">
        <v>539</v>
      </c>
      <c r="D1" s="1" t="s">
        <v>540</v>
      </c>
      <c r="E1" s="1" t="s">
        <v>541</v>
      </c>
      <c r="F1" s="1" t="s">
        <v>542</v>
      </c>
      <c r="G1" s="1" t="s">
        <v>543</v>
      </c>
      <c r="H1" s="1" t="s">
        <v>544</v>
      </c>
      <c r="I1" s="1" t="s">
        <v>546</v>
      </c>
    </row>
    <row r="2" spans="1:10">
      <c r="A2" t="s">
        <v>472</v>
      </c>
      <c r="B2">
        <v>7.7</v>
      </c>
      <c r="C2">
        <v>4.3</v>
      </c>
      <c r="D2">
        <v>5.6</v>
      </c>
      <c r="E2">
        <v>3.5</v>
      </c>
      <c r="F2">
        <v>3.5</v>
      </c>
      <c r="G2">
        <v>2.2000000000000002</v>
      </c>
      <c r="H2">
        <v>16.8</v>
      </c>
      <c r="I2">
        <v>56.4</v>
      </c>
      <c r="J2" s="101"/>
    </row>
    <row r="3" spans="1:10">
      <c r="A3" t="s">
        <v>469</v>
      </c>
      <c r="B3">
        <v>3.8</v>
      </c>
      <c r="C3">
        <v>7</v>
      </c>
      <c r="D3">
        <v>6.4</v>
      </c>
      <c r="E3">
        <v>4.0999999999999996</v>
      </c>
      <c r="F3">
        <v>5.8</v>
      </c>
      <c r="G3">
        <v>3</v>
      </c>
      <c r="H3">
        <v>14.7</v>
      </c>
      <c r="I3">
        <v>55.2</v>
      </c>
    </row>
    <row r="4" spans="1:10">
      <c r="A4" t="s">
        <v>470</v>
      </c>
      <c r="B4">
        <v>3.1</v>
      </c>
      <c r="C4">
        <v>3.3</v>
      </c>
      <c r="D4">
        <v>2.5</v>
      </c>
      <c r="E4">
        <v>4</v>
      </c>
      <c r="F4">
        <v>4</v>
      </c>
      <c r="G4">
        <v>2</v>
      </c>
      <c r="H4">
        <v>11.9</v>
      </c>
      <c r="I4">
        <v>69.2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1"/>
  <dimension ref="A1:D11"/>
  <sheetViews>
    <sheetView workbookViewId="0"/>
  </sheetViews>
  <sheetFormatPr baseColWidth="10" defaultColWidth="8.83203125" defaultRowHeight="15"/>
  <sheetData>
    <row r="1" spans="1:4">
      <c r="A1" t="s">
        <v>0</v>
      </c>
      <c r="B1" t="s">
        <v>536</v>
      </c>
      <c r="C1" t="s">
        <v>537</v>
      </c>
      <c r="D1" s="1"/>
    </row>
    <row r="2" spans="1:4">
      <c r="A2" t="s">
        <v>471</v>
      </c>
      <c r="B2">
        <v>30.8</v>
      </c>
      <c r="C2">
        <v>69.2</v>
      </c>
      <c r="D2" s="1"/>
    </row>
    <row r="3" spans="1:4">
      <c r="A3" t="s">
        <v>472</v>
      </c>
      <c r="B3">
        <v>26.8</v>
      </c>
      <c r="C3">
        <v>73.2</v>
      </c>
      <c r="D3" s="1"/>
    </row>
    <row r="4" spans="1:4">
      <c r="A4" t="s">
        <v>469</v>
      </c>
      <c r="B4">
        <v>30.100000000000005</v>
      </c>
      <c r="C4">
        <v>69.900000000000006</v>
      </c>
      <c r="D4" s="1"/>
    </row>
    <row r="5" spans="1:4">
      <c r="A5" t="s">
        <v>470</v>
      </c>
      <c r="B5">
        <v>18.899999999999999</v>
      </c>
      <c r="C5">
        <v>81.100000000000009</v>
      </c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3"/>
  <dimension ref="A1:C41"/>
  <sheetViews>
    <sheetView workbookViewId="0">
      <selection activeCell="G19" sqref="G19"/>
    </sheetView>
  </sheetViews>
  <sheetFormatPr baseColWidth="10" defaultColWidth="8.83203125" defaultRowHeight="15"/>
  <sheetData>
    <row r="1" spans="1:3" ht="16" customHeight="1">
      <c r="A1" s="109" t="s">
        <v>0</v>
      </c>
      <c r="B1" s="110" t="s">
        <v>12</v>
      </c>
      <c r="C1" s="111" t="s">
        <v>560</v>
      </c>
    </row>
    <row r="2" spans="1:3">
      <c r="A2" s="112">
        <v>1985</v>
      </c>
      <c r="B2" s="113">
        <v>4150</v>
      </c>
      <c r="C2" s="114">
        <v>1.2</v>
      </c>
    </row>
    <row r="3" spans="1:3">
      <c r="A3" s="112">
        <v>1986</v>
      </c>
      <c r="B3" s="113">
        <v>4730</v>
      </c>
      <c r="C3" s="114">
        <v>1.4</v>
      </c>
    </row>
    <row r="4" spans="1:3">
      <c r="A4" s="112">
        <v>1987</v>
      </c>
      <c r="B4" s="113">
        <v>4800</v>
      </c>
      <c r="C4" s="114">
        <v>1.3</v>
      </c>
    </row>
    <row r="5" spans="1:3">
      <c r="A5" s="112">
        <v>1988</v>
      </c>
      <c r="B5" s="113">
        <v>7020</v>
      </c>
      <c r="C5" s="114">
        <v>1.9</v>
      </c>
    </row>
    <row r="6" spans="1:3">
      <c r="A6" s="112">
        <v>1989</v>
      </c>
      <c r="B6" s="113">
        <v>7712</v>
      </c>
      <c r="C6" s="114">
        <v>2</v>
      </c>
    </row>
    <row r="7" spans="1:3">
      <c r="A7" s="112">
        <v>1990</v>
      </c>
      <c r="B7" s="113">
        <v>8770</v>
      </c>
      <c r="C7" s="114">
        <v>2.2000000000000002</v>
      </c>
    </row>
    <row r="8" spans="1:3">
      <c r="A8" s="112">
        <v>1991</v>
      </c>
      <c r="B8" s="113">
        <v>8230</v>
      </c>
      <c r="C8" s="114">
        <v>2</v>
      </c>
    </row>
    <row r="9" spans="1:3">
      <c r="A9" s="112">
        <v>1992</v>
      </c>
      <c r="B9" s="113">
        <v>11010</v>
      </c>
      <c r="C9" s="114">
        <v>2.5</v>
      </c>
    </row>
    <row r="10" spans="1:3">
      <c r="A10" s="112">
        <v>1993</v>
      </c>
      <c r="B10" s="113">
        <v>11430</v>
      </c>
      <c r="C10" s="114">
        <v>2.5</v>
      </c>
    </row>
    <row r="11" spans="1:3">
      <c r="A11" s="112">
        <v>1994</v>
      </c>
      <c r="B11" s="113">
        <v>13209</v>
      </c>
      <c r="C11" s="114">
        <v>2.9</v>
      </c>
    </row>
    <row r="12" spans="1:3">
      <c r="A12" s="112">
        <v>1995</v>
      </c>
      <c r="B12" s="113">
        <v>15450</v>
      </c>
      <c r="C12" s="114">
        <v>3.4</v>
      </c>
    </row>
    <row r="13" spans="1:3">
      <c r="A13" s="112">
        <v>1996</v>
      </c>
      <c r="B13" s="113">
        <v>18125</v>
      </c>
      <c r="C13" s="114">
        <v>4</v>
      </c>
    </row>
    <row r="14" spans="1:3">
      <c r="A14" s="112">
        <v>1997</v>
      </c>
      <c r="B14" s="113">
        <v>16582</v>
      </c>
      <c r="C14" s="114">
        <v>3.4</v>
      </c>
    </row>
    <row r="15" spans="1:3">
      <c r="A15" s="112">
        <v>1998</v>
      </c>
      <c r="B15" s="113">
        <v>16842</v>
      </c>
      <c r="C15" s="114">
        <v>3.4</v>
      </c>
    </row>
    <row r="16" spans="1:3">
      <c r="A16" s="112">
        <v>1999</v>
      </c>
      <c r="B16" s="113">
        <v>24857</v>
      </c>
      <c r="C16" s="114">
        <v>4.8</v>
      </c>
    </row>
    <row r="17" spans="1:3">
      <c r="A17" s="112">
        <v>2000</v>
      </c>
      <c r="B17" s="113">
        <v>21058</v>
      </c>
      <c r="C17" s="114">
        <v>3.8</v>
      </c>
    </row>
    <row r="18" spans="1:3">
      <c r="A18" s="112">
        <v>2001</v>
      </c>
      <c r="B18" s="113">
        <v>22745</v>
      </c>
      <c r="C18" s="114">
        <v>3.9</v>
      </c>
    </row>
    <row r="19" spans="1:3">
      <c r="A19" s="112">
        <v>2002</v>
      </c>
      <c r="B19" s="113">
        <v>27793</v>
      </c>
      <c r="C19" s="114">
        <v>4.7</v>
      </c>
    </row>
    <row r="20" spans="1:3">
      <c r="A20" s="112">
        <v>2003</v>
      </c>
      <c r="B20" s="113">
        <v>29340</v>
      </c>
      <c r="C20" s="114">
        <v>5.0999999999999996</v>
      </c>
    </row>
    <row r="21" spans="1:3">
      <c r="A21" s="112">
        <v>2004</v>
      </c>
      <c r="B21" s="113">
        <v>32999</v>
      </c>
      <c r="C21" s="114">
        <v>5.8</v>
      </c>
    </row>
    <row r="22" spans="1:3">
      <c r="A22" s="112">
        <v>2005</v>
      </c>
      <c r="B22" s="113">
        <v>38096</v>
      </c>
      <c r="C22" s="114">
        <v>6.7</v>
      </c>
    </row>
    <row r="23" spans="1:3">
      <c r="A23" s="112">
        <v>2006</v>
      </c>
      <c r="B23" s="113">
        <v>41660</v>
      </c>
      <c r="C23" s="114">
        <v>7.1</v>
      </c>
    </row>
    <row r="24" spans="1:3">
      <c r="A24" s="112">
        <v>2007</v>
      </c>
      <c r="B24" s="113">
        <v>56766</v>
      </c>
      <c r="C24" s="114">
        <v>9.1</v>
      </c>
    </row>
    <row r="25" spans="1:3">
      <c r="A25" s="112">
        <v>2008</v>
      </c>
      <c r="B25" s="113">
        <v>66601</v>
      </c>
      <c r="C25" s="114">
        <v>9.9</v>
      </c>
    </row>
    <row r="26" spans="1:3">
      <c r="A26" s="112">
        <v>2009</v>
      </c>
      <c r="B26" s="113">
        <v>67804</v>
      </c>
      <c r="C26" s="114">
        <v>9.8000000000000007</v>
      </c>
    </row>
    <row r="27" spans="1:3">
      <c r="A27" s="112">
        <v>2010</v>
      </c>
      <c r="B27" s="116">
        <v>76031</v>
      </c>
      <c r="C27" s="114">
        <v>10.5</v>
      </c>
    </row>
    <row r="28" spans="1:3">
      <c r="A28" s="112">
        <v>2011</v>
      </c>
      <c r="B28" s="116">
        <v>85157</v>
      </c>
      <c r="C28" s="114">
        <v>11.1</v>
      </c>
    </row>
    <row r="29" spans="1:3">
      <c r="A29" s="112">
        <v>2012</v>
      </c>
      <c r="B29" s="116">
        <v>94919</v>
      </c>
      <c r="C29" s="114">
        <v>11.6</v>
      </c>
    </row>
    <row r="30" spans="1:3">
      <c r="A30" s="112">
        <v>2013</v>
      </c>
      <c r="B30" s="116">
        <v>105997</v>
      </c>
      <c r="C30" s="114">
        <v>12</v>
      </c>
    </row>
    <row r="31" spans="1:3">
      <c r="A31" s="112">
        <v>2014</v>
      </c>
      <c r="B31" s="116">
        <v>120287</v>
      </c>
      <c r="C31" s="114">
        <v>12.3</v>
      </c>
    </row>
    <row r="32" spans="1:3">
      <c r="A32" s="112">
        <v>2015</v>
      </c>
      <c r="B32" s="87">
        <v>147498</v>
      </c>
      <c r="C32" s="114">
        <v>14.1</v>
      </c>
    </row>
    <row r="33" spans="1:3">
      <c r="A33" s="112">
        <v>2016</v>
      </c>
      <c r="B33" s="115">
        <v>175695</v>
      </c>
      <c r="C33" s="114">
        <v>16.3</v>
      </c>
    </row>
    <row r="34" spans="1:3">
      <c r="A34" s="112">
        <v>2017</v>
      </c>
      <c r="B34" s="115">
        <v>203462</v>
      </c>
      <c r="C34" s="114">
        <v>18.600000000000001</v>
      </c>
    </row>
    <row r="35" spans="1:3">
      <c r="A35" s="112">
        <v>2018</v>
      </c>
      <c r="B35" s="117">
        <v>223085</v>
      </c>
      <c r="C35" s="114">
        <v>20.399999999999999</v>
      </c>
    </row>
    <row r="36" spans="1:3">
      <c r="A36" s="112">
        <v>2019</v>
      </c>
      <c r="B36" s="115">
        <v>223539</v>
      </c>
      <c r="C36" s="114">
        <v>20.8</v>
      </c>
    </row>
    <row r="37" spans="1:3">
      <c r="A37" s="112">
        <v>2020</v>
      </c>
      <c r="B37" s="116">
        <v>203885</v>
      </c>
      <c r="C37" s="118">
        <v>22.3</v>
      </c>
    </row>
    <row r="38" spans="1:3">
      <c r="A38" s="112">
        <v>2021</v>
      </c>
      <c r="B38" s="116">
        <v>184759</v>
      </c>
      <c r="C38" s="118">
        <v>19.5</v>
      </c>
    </row>
    <row r="39" spans="1:3">
      <c r="A39" s="112">
        <v>2022</v>
      </c>
      <c r="B39" s="116">
        <v>198793</v>
      </c>
      <c r="C39" s="118">
        <v>18.8</v>
      </c>
    </row>
    <row r="40" spans="1:3">
      <c r="A40" s="112">
        <v>2023</v>
      </c>
      <c r="B40" s="117">
        <v>242782</v>
      </c>
      <c r="C40" s="119">
        <v>21.5</v>
      </c>
    </row>
    <row r="41" spans="1:3">
      <c r="A41" s="112">
        <v>2024</v>
      </c>
      <c r="B41" s="117">
        <v>294253</v>
      </c>
      <c r="C41" s="119">
        <v>25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D30"/>
  <sheetViews>
    <sheetView workbookViewId="0">
      <selection activeCell="K32" sqref="K32"/>
    </sheetView>
  </sheetViews>
  <sheetFormatPr baseColWidth="10" defaultColWidth="8.83203125" defaultRowHeight="15"/>
  <sheetData>
    <row r="1" spans="1:4">
      <c r="A1" s="37" t="s">
        <v>571</v>
      </c>
      <c r="B1" s="37">
        <v>2000</v>
      </c>
      <c r="C1" s="37">
        <v>2025</v>
      </c>
      <c r="D1" s="37" t="s">
        <v>73</v>
      </c>
    </row>
    <row r="2" spans="1:4">
      <c r="A2" s="37" t="s">
        <v>572</v>
      </c>
      <c r="B2" s="38">
        <v>149</v>
      </c>
      <c r="C2" s="38">
        <v>1</v>
      </c>
      <c r="D2" s="38" t="s">
        <v>30</v>
      </c>
    </row>
    <row r="3" spans="1:4">
      <c r="A3" s="37" t="s">
        <v>573</v>
      </c>
      <c r="B3" s="38">
        <v>149</v>
      </c>
      <c r="C3" s="38">
        <v>2</v>
      </c>
      <c r="D3" s="38" t="s">
        <v>30</v>
      </c>
    </row>
    <row r="4" spans="1:4">
      <c r="A4" s="37" t="s">
        <v>574</v>
      </c>
      <c r="B4" s="38">
        <v>1</v>
      </c>
      <c r="C4" s="38">
        <v>2</v>
      </c>
      <c r="D4" s="38" t="s">
        <v>17</v>
      </c>
    </row>
    <row r="5" spans="1:4">
      <c r="A5" s="37" t="s">
        <v>575</v>
      </c>
      <c r="B5" s="38" t="s">
        <v>21</v>
      </c>
      <c r="C5" s="38">
        <v>4</v>
      </c>
      <c r="D5" s="38" t="s">
        <v>30</v>
      </c>
    </row>
    <row r="6" spans="1:4">
      <c r="A6" s="37" t="s">
        <v>576</v>
      </c>
      <c r="B6" s="38">
        <v>149</v>
      </c>
      <c r="C6" s="38">
        <v>5</v>
      </c>
      <c r="D6" s="38" t="s">
        <v>30</v>
      </c>
    </row>
    <row r="7" spans="1:4">
      <c r="A7" s="37" t="s">
        <v>577</v>
      </c>
      <c r="B7" s="38">
        <v>18</v>
      </c>
      <c r="C7" s="38">
        <v>5</v>
      </c>
      <c r="D7" s="38" t="s">
        <v>331</v>
      </c>
    </row>
    <row r="8" spans="1:4">
      <c r="A8" s="37" t="s">
        <v>578</v>
      </c>
      <c r="B8" s="38">
        <v>18</v>
      </c>
      <c r="C8" s="38">
        <v>5</v>
      </c>
      <c r="D8" s="38" t="s">
        <v>329</v>
      </c>
    </row>
    <row r="9" spans="1:4">
      <c r="A9" s="37" t="s">
        <v>579</v>
      </c>
      <c r="B9" s="38">
        <v>4</v>
      </c>
      <c r="C9" s="38">
        <v>5</v>
      </c>
      <c r="D9" s="38" t="s">
        <v>17</v>
      </c>
    </row>
    <row r="10" spans="1:4">
      <c r="A10" s="37" t="s">
        <v>580</v>
      </c>
      <c r="B10" s="38">
        <v>149</v>
      </c>
      <c r="C10" s="38">
        <v>9</v>
      </c>
      <c r="D10" s="38" t="s">
        <v>30</v>
      </c>
    </row>
    <row r="11" spans="1:4">
      <c r="A11" s="37" t="s">
        <v>581</v>
      </c>
      <c r="B11" s="38">
        <v>45</v>
      </c>
      <c r="C11" s="38">
        <v>9</v>
      </c>
      <c r="D11" s="38" t="s">
        <v>370</v>
      </c>
    </row>
    <row r="12" spans="1:4">
      <c r="A12" s="37" t="s">
        <v>582</v>
      </c>
      <c r="B12" s="38">
        <v>10</v>
      </c>
      <c r="C12" s="38">
        <v>9</v>
      </c>
      <c r="D12" s="38" t="s">
        <v>17</v>
      </c>
    </row>
    <row r="13" spans="1:4" ht="16">
      <c r="A13" s="37" t="s">
        <v>583</v>
      </c>
      <c r="B13" s="135"/>
      <c r="C13" s="38">
        <v>12</v>
      </c>
      <c r="D13" s="38" t="s">
        <v>30</v>
      </c>
    </row>
    <row r="14" spans="1:4">
      <c r="A14" s="37" t="s">
        <v>584</v>
      </c>
      <c r="B14" s="38">
        <v>149</v>
      </c>
      <c r="C14" s="38">
        <v>12</v>
      </c>
      <c r="D14" s="38" t="s">
        <v>30</v>
      </c>
    </row>
    <row r="15" spans="1:4">
      <c r="A15" s="37" t="s">
        <v>585</v>
      </c>
      <c r="B15" s="38">
        <v>149</v>
      </c>
      <c r="C15" s="38">
        <v>12</v>
      </c>
      <c r="D15" s="38" t="s">
        <v>329</v>
      </c>
    </row>
    <row r="16" spans="1:4">
      <c r="A16" s="37" t="s">
        <v>586</v>
      </c>
      <c r="B16" s="38">
        <v>18</v>
      </c>
      <c r="C16" s="38">
        <v>12</v>
      </c>
      <c r="D16" s="38" t="s">
        <v>17</v>
      </c>
    </row>
    <row r="17" spans="1:4">
      <c r="A17" s="37" t="s">
        <v>587</v>
      </c>
      <c r="B17" s="38" t="s">
        <v>21</v>
      </c>
      <c r="C17" s="38">
        <v>12</v>
      </c>
      <c r="D17" s="38" t="s">
        <v>17</v>
      </c>
    </row>
    <row r="18" spans="1:4">
      <c r="A18" s="37" t="s">
        <v>588</v>
      </c>
      <c r="B18" s="38">
        <v>4</v>
      </c>
      <c r="C18" s="38">
        <v>12</v>
      </c>
      <c r="D18" s="38" t="s">
        <v>17</v>
      </c>
    </row>
    <row r="19" spans="1:4">
      <c r="A19" s="37" t="s">
        <v>589</v>
      </c>
      <c r="B19" s="38">
        <v>10</v>
      </c>
      <c r="C19" s="38">
        <v>12</v>
      </c>
      <c r="D19" s="38" t="s">
        <v>17</v>
      </c>
    </row>
    <row r="20" spans="1:4">
      <c r="A20" s="37" t="s">
        <v>590</v>
      </c>
      <c r="B20" s="38">
        <v>10</v>
      </c>
      <c r="C20" s="38">
        <v>12</v>
      </c>
      <c r="D20" s="38" t="s">
        <v>17</v>
      </c>
    </row>
    <row r="21" spans="1:4">
      <c r="A21" s="37" t="s">
        <v>591</v>
      </c>
      <c r="B21" s="38">
        <v>18</v>
      </c>
      <c r="C21" s="38">
        <v>20</v>
      </c>
      <c r="D21" s="38" t="s">
        <v>69</v>
      </c>
    </row>
    <row r="22" spans="1:4">
      <c r="A22" s="37" t="s">
        <v>592</v>
      </c>
      <c r="B22" s="38">
        <v>149</v>
      </c>
      <c r="C22" s="38">
        <v>20</v>
      </c>
      <c r="D22" s="38" t="s">
        <v>30</v>
      </c>
    </row>
    <row r="23" spans="1:4" ht="16">
      <c r="A23" s="37" t="s">
        <v>593</v>
      </c>
      <c r="B23" s="135"/>
      <c r="C23" s="38">
        <v>20</v>
      </c>
      <c r="D23" s="38" t="s">
        <v>30</v>
      </c>
    </row>
    <row r="24" spans="1:4">
      <c r="A24" s="37" t="s">
        <v>594</v>
      </c>
      <c r="B24" s="38">
        <v>45</v>
      </c>
      <c r="C24" s="38">
        <v>20</v>
      </c>
      <c r="D24" s="38" t="s">
        <v>331</v>
      </c>
    </row>
    <row r="25" spans="1:4">
      <c r="A25" s="37" t="s">
        <v>595</v>
      </c>
      <c r="B25" s="38">
        <v>45</v>
      </c>
      <c r="C25" s="38">
        <v>20</v>
      </c>
      <c r="D25" s="38" t="s">
        <v>370</v>
      </c>
    </row>
    <row r="26" spans="1:4">
      <c r="A26" s="37" t="s">
        <v>596</v>
      </c>
      <c r="B26" s="38" t="s">
        <v>21</v>
      </c>
      <c r="C26" s="38">
        <v>20</v>
      </c>
      <c r="D26" s="38" t="s">
        <v>56</v>
      </c>
    </row>
    <row r="27" spans="1:4">
      <c r="A27" s="37" t="s">
        <v>597</v>
      </c>
      <c r="B27" s="38">
        <v>10</v>
      </c>
      <c r="C27" s="38">
        <v>20</v>
      </c>
      <c r="D27" s="38" t="s">
        <v>17</v>
      </c>
    </row>
    <row r="28" spans="1:4">
      <c r="A28" s="37" t="s">
        <v>598</v>
      </c>
      <c r="B28" s="38">
        <v>45</v>
      </c>
      <c r="C28" s="38">
        <v>20</v>
      </c>
      <c r="D28" s="38" t="s">
        <v>17</v>
      </c>
    </row>
    <row r="29" spans="1:4">
      <c r="A29" s="37" t="s">
        <v>599</v>
      </c>
      <c r="B29" s="38">
        <v>4</v>
      </c>
      <c r="C29" s="38">
        <v>20</v>
      </c>
      <c r="D29" s="38" t="s">
        <v>17</v>
      </c>
    </row>
    <row r="30" spans="1:4">
      <c r="A30" s="37" t="s">
        <v>600</v>
      </c>
      <c r="B30" s="38">
        <v>18</v>
      </c>
      <c r="C30" s="38">
        <v>20</v>
      </c>
      <c r="D30" s="38" t="s">
        <v>17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D18"/>
  <sheetViews>
    <sheetView workbookViewId="0"/>
  </sheetViews>
  <sheetFormatPr baseColWidth="10" defaultColWidth="8.83203125" defaultRowHeight="15"/>
  <sheetData>
    <row r="1" spans="1:4">
      <c r="A1" s="1" t="s">
        <v>0</v>
      </c>
      <c r="B1" s="1" t="s">
        <v>53</v>
      </c>
      <c r="C1" s="1" t="s">
        <v>54</v>
      </c>
      <c r="D1" s="1"/>
    </row>
    <row r="2" spans="1:4">
      <c r="A2" s="1">
        <v>2009</v>
      </c>
      <c r="B2" s="1">
        <v>18005</v>
      </c>
      <c r="C2" s="1">
        <v>8007</v>
      </c>
      <c r="D2" s="1"/>
    </row>
    <row r="3" spans="1:4">
      <c r="A3" s="1">
        <v>2010</v>
      </c>
      <c r="B3" s="1">
        <v>7260</v>
      </c>
      <c r="C3" s="1">
        <v>5201</v>
      </c>
      <c r="D3" s="1"/>
    </row>
    <row r="4" spans="1:4">
      <c r="A4" s="1">
        <v>2011</v>
      </c>
      <c r="B4" s="1">
        <v>8506</v>
      </c>
      <c r="C4" s="1">
        <v>4561</v>
      </c>
      <c r="D4" s="1"/>
    </row>
    <row r="5" spans="1:4">
      <c r="A5" s="1">
        <v>2012</v>
      </c>
      <c r="B5" s="1">
        <v>7335</v>
      </c>
      <c r="C5" s="1">
        <v>4062</v>
      </c>
      <c r="D5" s="1"/>
    </row>
    <row r="6" spans="1:4">
      <c r="A6" s="1">
        <v>2013</v>
      </c>
      <c r="B6" s="1">
        <v>9526</v>
      </c>
      <c r="C6" s="1">
        <v>4593</v>
      </c>
      <c r="D6" s="1"/>
    </row>
    <row r="7" spans="1:4">
      <c r="A7" s="1">
        <v>2014</v>
      </c>
      <c r="B7" s="1">
        <v>10594</v>
      </c>
      <c r="C7" s="1">
        <v>6138</v>
      </c>
      <c r="D7" s="1"/>
    </row>
    <row r="8" spans="1:4">
      <c r="A8" s="1">
        <v>2015</v>
      </c>
      <c r="B8" s="1">
        <v>7611</v>
      </c>
      <c r="C8" s="1">
        <v>5526</v>
      </c>
      <c r="D8" s="1"/>
    </row>
    <row r="9" spans="1:4">
      <c r="A9" s="1">
        <v>2016</v>
      </c>
      <c r="B9" s="1">
        <v>11220</v>
      </c>
      <c r="C9" s="1">
        <v>11836</v>
      </c>
      <c r="D9" s="1"/>
    </row>
    <row r="10" spans="1:4">
      <c r="A10" s="1">
        <v>2017</v>
      </c>
      <c r="B10" s="1">
        <v>14439</v>
      </c>
      <c r="C10" s="1">
        <v>15426</v>
      </c>
      <c r="D10" s="1"/>
    </row>
    <row r="11" spans="1:4">
      <c r="A11" s="1">
        <v>2018</v>
      </c>
      <c r="B11" s="1">
        <v>28080</v>
      </c>
      <c r="C11" s="1">
        <v>33241</v>
      </c>
      <c r="D11" s="1"/>
    </row>
    <row r="12" spans="1:4">
      <c r="A12">
        <v>2019</v>
      </c>
      <c r="B12">
        <v>35507</v>
      </c>
      <c r="C12">
        <v>33977</v>
      </c>
    </row>
    <row r="13" spans="1:4">
      <c r="A13">
        <v>2020</v>
      </c>
      <c r="B13">
        <v>18193</v>
      </c>
      <c r="C13">
        <v>21687</v>
      </c>
    </row>
    <row r="14" spans="1:4">
      <c r="A14">
        <v>2021</v>
      </c>
      <c r="B14">
        <v>4650</v>
      </c>
      <c r="C14">
        <v>6564</v>
      </c>
    </row>
    <row r="15" spans="1:4">
      <c r="A15">
        <v>2022</v>
      </c>
      <c r="B15">
        <v>2904</v>
      </c>
      <c r="C15">
        <v>6156</v>
      </c>
    </row>
    <row r="16" spans="1:4">
      <c r="A16">
        <v>2023</v>
      </c>
      <c r="B16">
        <v>4209</v>
      </c>
      <c r="C16">
        <v>6682</v>
      </c>
    </row>
    <row r="17" spans="1:3">
      <c r="A17">
        <v>2024</v>
      </c>
      <c r="B17">
        <v>3554</v>
      </c>
      <c r="C17">
        <v>4676</v>
      </c>
    </row>
    <row r="18" spans="1:3">
      <c r="A18">
        <v>2025</v>
      </c>
      <c r="B18">
        <v>2378</v>
      </c>
      <c r="C18">
        <v>3960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D18"/>
  <sheetViews>
    <sheetView workbookViewId="0"/>
  </sheetViews>
  <sheetFormatPr baseColWidth="10" defaultColWidth="8.83203125" defaultRowHeight="15"/>
  <sheetData>
    <row r="1" spans="1:4">
      <c r="A1" s="1" t="s">
        <v>0</v>
      </c>
      <c r="B1" s="1" t="s">
        <v>53</v>
      </c>
      <c r="C1" s="1" t="s">
        <v>54</v>
      </c>
      <c r="D1" s="1"/>
    </row>
    <row r="2" spans="1:4">
      <c r="A2" s="1">
        <v>2009</v>
      </c>
      <c r="B2" s="1">
        <v>13362</v>
      </c>
      <c r="C2" s="1">
        <v>5787</v>
      </c>
      <c r="D2" s="1"/>
    </row>
    <row r="3" spans="1:4">
      <c r="A3" s="1">
        <v>2010</v>
      </c>
      <c r="B3" s="1">
        <v>3046</v>
      </c>
      <c r="C3" s="1">
        <v>3349</v>
      </c>
      <c r="D3" s="1"/>
    </row>
    <row r="4" spans="1:4">
      <c r="A4" s="1">
        <v>2011</v>
      </c>
      <c r="B4" s="1">
        <v>4170</v>
      </c>
      <c r="C4" s="1">
        <v>2683</v>
      </c>
      <c r="D4" s="1"/>
    </row>
    <row r="5" spans="1:4">
      <c r="A5" s="1">
        <v>2012</v>
      </c>
      <c r="B5" s="1">
        <v>4015</v>
      </c>
      <c r="C5" s="1">
        <v>2292</v>
      </c>
      <c r="D5" s="1"/>
    </row>
    <row r="6" spans="1:4">
      <c r="A6" s="1">
        <v>2013</v>
      </c>
      <c r="B6" s="1">
        <v>6352</v>
      </c>
      <c r="C6" s="1">
        <v>2464</v>
      </c>
      <c r="D6" s="1"/>
    </row>
    <row r="7" spans="1:4">
      <c r="A7" s="1">
        <v>2014</v>
      </c>
      <c r="B7" s="1">
        <v>7734</v>
      </c>
      <c r="C7" s="1">
        <v>3790</v>
      </c>
      <c r="D7" s="1"/>
    </row>
    <row r="8" spans="1:4">
      <c r="A8" s="1">
        <v>2015</v>
      </c>
      <c r="B8" s="1">
        <v>5371</v>
      </c>
      <c r="C8" s="1">
        <v>3733</v>
      </c>
      <c r="D8" s="1"/>
    </row>
    <row r="9" spans="1:4">
      <c r="A9" s="1">
        <v>2016</v>
      </c>
      <c r="B9" s="1">
        <v>8510</v>
      </c>
      <c r="C9" s="1">
        <v>8296</v>
      </c>
      <c r="D9" s="1"/>
    </row>
    <row r="10" spans="1:4">
      <c r="A10" s="1">
        <v>2017</v>
      </c>
      <c r="B10" s="1">
        <v>11502</v>
      </c>
      <c r="C10" s="1">
        <v>12044</v>
      </c>
      <c r="D10" s="1"/>
    </row>
    <row r="11" spans="1:4">
      <c r="A11" s="1">
        <v>2018</v>
      </c>
      <c r="B11" s="1">
        <v>22044</v>
      </c>
      <c r="C11" s="1">
        <v>28004</v>
      </c>
      <c r="D11" s="1"/>
    </row>
    <row r="12" spans="1:4">
      <c r="A12">
        <v>2019</v>
      </c>
      <c r="B12">
        <v>27923</v>
      </c>
      <c r="C12">
        <v>28495</v>
      </c>
    </row>
    <row r="13" spans="1:4">
      <c r="A13">
        <v>2020</v>
      </c>
      <c r="B13">
        <v>14944</v>
      </c>
      <c r="C13">
        <v>17791</v>
      </c>
    </row>
    <row r="14" spans="1:4">
      <c r="A14">
        <v>2021</v>
      </c>
      <c r="B14">
        <v>2932</v>
      </c>
      <c r="C14">
        <v>4386</v>
      </c>
    </row>
    <row r="15" spans="1:4">
      <c r="A15">
        <v>2022</v>
      </c>
      <c r="B15">
        <v>1821</v>
      </c>
      <c r="C15">
        <v>2956</v>
      </c>
    </row>
    <row r="16" spans="1:4">
      <c r="A16">
        <v>2023</v>
      </c>
      <c r="B16">
        <v>3086</v>
      </c>
      <c r="C16">
        <v>3494</v>
      </c>
    </row>
    <row r="17" spans="1:3">
      <c r="A17">
        <v>2024</v>
      </c>
      <c r="B17">
        <v>2173</v>
      </c>
      <c r="C17">
        <v>2740</v>
      </c>
    </row>
    <row r="18" spans="1:3">
      <c r="A18">
        <v>2025</v>
      </c>
      <c r="B18">
        <v>1380</v>
      </c>
      <c r="C18">
        <v>2068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E11"/>
  <sheetViews>
    <sheetView workbookViewId="0">
      <selection activeCell="I30" sqref="I30"/>
    </sheetView>
  </sheetViews>
  <sheetFormatPr baseColWidth="10" defaultColWidth="8.83203125" defaultRowHeight="15"/>
  <sheetData>
    <row r="1" spans="1:5">
      <c r="A1" t="s">
        <v>0</v>
      </c>
      <c r="B1" t="s">
        <v>394</v>
      </c>
      <c r="C1" t="s">
        <v>395</v>
      </c>
      <c r="D1" s="1" t="s">
        <v>396</v>
      </c>
      <c r="E1" t="s">
        <v>397</v>
      </c>
    </row>
    <row r="2" spans="1:5">
      <c r="A2">
        <v>1993</v>
      </c>
      <c r="B2">
        <v>17885</v>
      </c>
      <c r="C2">
        <v>8370</v>
      </c>
      <c r="D2">
        <v>67.5</v>
      </c>
      <c r="E2">
        <v>31.6</v>
      </c>
    </row>
    <row r="3" spans="1:5">
      <c r="A3">
        <v>1998</v>
      </c>
      <c r="B3">
        <v>18234</v>
      </c>
      <c r="C3">
        <v>10281</v>
      </c>
      <c r="D3">
        <v>63.7</v>
      </c>
      <c r="E3">
        <v>35.9</v>
      </c>
    </row>
    <row r="4" spans="1:5">
      <c r="A4">
        <v>2003</v>
      </c>
      <c r="B4">
        <v>16219</v>
      </c>
      <c r="C4">
        <v>10540</v>
      </c>
      <c r="D4">
        <v>60.6</v>
      </c>
      <c r="E4">
        <v>39.4</v>
      </c>
    </row>
    <row r="5" spans="1:5">
      <c r="A5">
        <v>2008</v>
      </c>
      <c r="B5">
        <v>20447</v>
      </c>
      <c r="C5">
        <v>14309</v>
      </c>
      <c r="D5">
        <v>58.8</v>
      </c>
      <c r="E5">
        <v>41.2</v>
      </c>
    </row>
    <row r="6" spans="1:5">
      <c r="A6">
        <v>2013</v>
      </c>
      <c r="B6">
        <v>22471</v>
      </c>
      <c r="C6">
        <v>16603</v>
      </c>
      <c r="D6">
        <v>57.5</v>
      </c>
      <c r="E6">
        <v>42.5</v>
      </c>
    </row>
    <row r="7" spans="1:5">
      <c r="A7">
        <v>2018</v>
      </c>
      <c r="B7">
        <v>24239</v>
      </c>
      <c r="C7">
        <v>17886</v>
      </c>
      <c r="D7">
        <v>55.8</v>
      </c>
      <c r="E7">
        <v>44.2</v>
      </c>
    </row>
    <row r="9" spans="1:5">
      <c r="D9" s="1"/>
    </row>
    <row r="11" spans="1:5">
      <c r="D11" s="1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K16"/>
  <sheetViews>
    <sheetView workbookViewId="0"/>
  </sheetViews>
  <sheetFormatPr baseColWidth="10" defaultColWidth="8.83203125" defaultRowHeight="15"/>
  <sheetData>
    <row r="1" spans="1:11">
      <c r="A1" t="s">
        <v>0</v>
      </c>
      <c r="B1" t="s">
        <v>398</v>
      </c>
      <c r="C1" t="s">
        <v>399</v>
      </c>
      <c r="D1" t="s">
        <v>400</v>
      </c>
    </row>
    <row r="2" spans="1:11">
      <c r="A2">
        <v>1978</v>
      </c>
      <c r="B2">
        <v>14874</v>
      </c>
      <c r="C2">
        <v>2656</v>
      </c>
      <c r="D2">
        <v>447</v>
      </c>
    </row>
    <row r="3" spans="1:11">
      <c r="A3">
        <v>1983</v>
      </c>
      <c r="B3">
        <v>14963</v>
      </c>
      <c r="C3">
        <v>3532</v>
      </c>
      <c r="D3">
        <v>635</v>
      </c>
    </row>
    <row r="4" spans="1:11">
      <c r="A4">
        <v>1988</v>
      </c>
      <c r="B4">
        <v>15121</v>
      </c>
      <c r="C4">
        <v>5078</v>
      </c>
      <c r="D4">
        <v>1498</v>
      </c>
    </row>
    <row r="5" spans="1:11">
      <c r="A5">
        <v>1993</v>
      </c>
      <c r="B5">
        <v>17397</v>
      </c>
      <c r="C5">
        <v>8332</v>
      </c>
      <c r="D5">
        <v>757</v>
      </c>
    </row>
    <row r="6" spans="1:11">
      <c r="A6">
        <v>1998</v>
      </c>
      <c r="B6">
        <v>19338</v>
      </c>
      <c r="C6">
        <v>8012</v>
      </c>
      <c r="D6">
        <v>1286</v>
      </c>
    </row>
    <row r="7" spans="1:11">
      <c r="A7">
        <v>2003</v>
      </c>
      <c r="B7">
        <v>16867</v>
      </c>
      <c r="C7">
        <v>8694</v>
      </c>
      <c r="D7">
        <v>1198</v>
      </c>
    </row>
    <row r="8" spans="1:11">
      <c r="A8">
        <v>2008</v>
      </c>
      <c r="B8">
        <v>19907</v>
      </c>
      <c r="C8">
        <v>13053</v>
      </c>
      <c r="D8">
        <v>1805</v>
      </c>
    </row>
    <row r="9" spans="1:11">
      <c r="A9">
        <v>2013</v>
      </c>
      <c r="B9">
        <v>23503</v>
      </c>
      <c r="C9">
        <v>13444</v>
      </c>
      <c r="D9">
        <v>2137</v>
      </c>
    </row>
    <row r="10" spans="1:11">
      <c r="A10">
        <v>2018</v>
      </c>
      <c r="B10">
        <v>25436</v>
      </c>
      <c r="C10">
        <v>15204</v>
      </c>
      <c r="D10">
        <v>1504</v>
      </c>
    </row>
    <row r="11" spans="1:11">
      <c r="A11">
        <v>2023</v>
      </c>
      <c r="B11">
        <v>26622</v>
      </c>
      <c r="C11">
        <v>16768</v>
      </c>
      <c r="D11">
        <v>2143</v>
      </c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R31"/>
  <sheetViews>
    <sheetView workbookViewId="0">
      <selection sqref="A1:AR31"/>
    </sheetView>
  </sheetViews>
  <sheetFormatPr baseColWidth="10" defaultColWidth="8.83203125" defaultRowHeight="15"/>
  <sheetData>
    <row r="1" spans="1:44">
      <c r="A1" s="37" t="s">
        <v>0</v>
      </c>
      <c r="B1" s="37" t="s">
        <v>601</v>
      </c>
      <c r="C1" s="37" t="s">
        <v>602</v>
      </c>
      <c r="D1" s="37" t="s">
        <v>603</v>
      </c>
      <c r="E1" s="37" t="s">
        <v>604</v>
      </c>
      <c r="F1" s="37" t="s">
        <v>605</v>
      </c>
      <c r="G1" s="37" t="s">
        <v>606</v>
      </c>
      <c r="H1" s="37" t="s">
        <v>607</v>
      </c>
      <c r="I1" s="37" t="s">
        <v>608</v>
      </c>
      <c r="J1" s="37" t="s">
        <v>609</v>
      </c>
      <c r="K1" s="37" t="s">
        <v>610</v>
      </c>
      <c r="L1" s="37" t="s">
        <v>611</v>
      </c>
      <c r="M1" s="37" t="s">
        <v>383</v>
      </c>
      <c r="N1" s="37" t="s">
        <v>355</v>
      </c>
      <c r="O1" s="37" t="s">
        <v>612</v>
      </c>
      <c r="P1" s="37" t="s">
        <v>613</v>
      </c>
      <c r="Q1" s="37" t="s">
        <v>614</v>
      </c>
      <c r="R1" s="37" t="s">
        <v>615</v>
      </c>
      <c r="S1" s="37" t="s">
        <v>616</v>
      </c>
      <c r="T1" s="37" t="s">
        <v>356</v>
      </c>
      <c r="U1" s="37" t="s">
        <v>617</v>
      </c>
      <c r="V1" s="37" t="s">
        <v>618</v>
      </c>
      <c r="W1" s="37" t="s">
        <v>619</v>
      </c>
      <c r="X1" s="37" t="s">
        <v>620</v>
      </c>
      <c r="Y1" s="37" t="s">
        <v>621</v>
      </c>
      <c r="Z1" s="37" t="s">
        <v>622</v>
      </c>
      <c r="AA1" s="37" t="s">
        <v>623</v>
      </c>
      <c r="AB1" s="37" t="s">
        <v>624</v>
      </c>
      <c r="AC1" s="37" t="s">
        <v>625</v>
      </c>
      <c r="AD1" s="37" t="s">
        <v>626</v>
      </c>
      <c r="AE1" s="37" t="s">
        <v>433</v>
      </c>
      <c r="AF1" s="37" t="s">
        <v>627</v>
      </c>
      <c r="AG1" s="37" t="s">
        <v>628</v>
      </c>
      <c r="AH1" s="37" t="s">
        <v>389</v>
      </c>
      <c r="AI1" s="37" t="s">
        <v>629</v>
      </c>
      <c r="AJ1" s="37" t="s">
        <v>357</v>
      </c>
      <c r="AK1" s="37" t="s">
        <v>630</v>
      </c>
      <c r="AL1" s="37" t="s">
        <v>631</v>
      </c>
      <c r="AM1" s="37" t="s">
        <v>632</v>
      </c>
      <c r="AN1" s="37" t="s">
        <v>392</v>
      </c>
      <c r="AO1" s="37" t="s">
        <v>633</v>
      </c>
      <c r="AP1" s="37" t="s">
        <v>634</v>
      </c>
      <c r="AQ1" s="37" t="s">
        <v>635</v>
      </c>
      <c r="AR1" s="37" t="s">
        <v>636</v>
      </c>
    </row>
    <row r="2" spans="1:44" ht="16">
      <c r="A2" s="37">
        <v>1995</v>
      </c>
      <c r="B2" s="38">
        <v>2.39</v>
      </c>
      <c r="C2" s="38">
        <v>1.54</v>
      </c>
      <c r="D2" s="38">
        <v>5.0599999999999996</v>
      </c>
      <c r="E2" s="38">
        <v>3.99</v>
      </c>
      <c r="F2" s="38">
        <v>2.25</v>
      </c>
      <c r="G2" s="38">
        <v>5.27</v>
      </c>
      <c r="H2" s="38">
        <v>2.56</v>
      </c>
      <c r="I2" s="38">
        <v>3.78</v>
      </c>
      <c r="J2" s="38">
        <v>9.2799999999999994</v>
      </c>
      <c r="K2" s="38">
        <v>6.19</v>
      </c>
      <c r="L2" s="38">
        <v>0.79</v>
      </c>
      <c r="M2" s="38">
        <v>0.68</v>
      </c>
      <c r="N2" s="38">
        <v>7.58</v>
      </c>
      <c r="O2" s="38">
        <v>3.3</v>
      </c>
      <c r="P2" s="38">
        <v>1.1000000000000001</v>
      </c>
      <c r="Q2" s="38">
        <v>1.6</v>
      </c>
      <c r="R2" s="38">
        <v>3.46</v>
      </c>
      <c r="S2" s="38">
        <v>1.27</v>
      </c>
      <c r="T2" s="135"/>
      <c r="U2" s="38">
        <v>0.62</v>
      </c>
      <c r="V2" s="38">
        <v>2.77</v>
      </c>
      <c r="W2" s="38">
        <v>0.34</v>
      </c>
      <c r="X2" s="38">
        <v>1.67</v>
      </c>
      <c r="Y2" s="38">
        <v>2</v>
      </c>
      <c r="Z2" s="38">
        <v>4.3099999999999996</v>
      </c>
      <c r="AA2" s="38">
        <v>7.46</v>
      </c>
      <c r="AB2" s="38">
        <v>0</v>
      </c>
      <c r="AC2" s="38">
        <v>1.82</v>
      </c>
      <c r="AD2" s="38">
        <v>1.18</v>
      </c>
      <c r="AE2" s="38">
        <v>3.17</v>
      </c>
      <c r="AF2" s="38">
        <v>1.34</v>
      </c>
      <c r="AG2" s="38">
        <v>2.0099999999999998</v>
      </c>
      <c r="AH2" s="38">
        <v>3.73</v>
      </c>
      <c r="AI2" s="38">
        <v>1.42</v>
      </c>
      <c r="AJ2" s="38">
        <v>1.3</v>
      </c>
      <c r="AK2" s="38">
        <v>0.97</v>
      </c>
      <c r="AL2" s="38">
        <v>7.08</v>
      </c>
      <c r="AM2" s="38">
        <v>2.84</v>
      </c>
      <c r="AN2" s="38">
        <v>2.82</v>
      </c>
      <c r="AO2" s="38">
        <v>3.69</v>
      </c>
      <c r="AP2" s="38">
        <v>1.93</v>
      </c>
      <c r="AQ2" s="38">
        <v>4.82</v>
      </c>
      <c r="AR2" s="38">
        <v>2.33</v>
      </c>
    </row>
    <row r="3" spans="1:44" ht="16">
      <c r="A3" s="37">
        <v>1996</v>
      </c>
      <c r="B3" s="38">
        <v>2.0499999999999998</v>
      </c>
      <c r="C3" s="38">
        <v>1.54</v>
      </c>
      <c r="D3" s="38">
        <v>5.0999999999999996</v>
      </c>
      <c r="E3" s="38">
        <v>3.62</v>
      </c>
      <c r="F3" s="38">
        <v>2.2000000000000002</v>
      </c>
      <c r="G3" s="38">
        <v>5.54</v>
      </c>
      <c r="H3" s="38">
        <v>2.7</v>
      </c>
      <c r="I3" s="38">
        <v>2.19</v>
      </c>
      <c r="J3" s="38">
        <v>8.93</v>
      </c>
      <c r="K3" s="38">
        <v>6.25</v>
      </c>
      <c r="L3" s="38">
        <v>2.73</v>
      </c>
      <c r="M3" s="38">
        <v>0.85</v>
      </c>
      <c r="N3" s="38">
        <v>7.55</v>
      </c>
      <c r="O3" s="38">
        <v>3.69</v>
      </c>
      <c r="P3" s="38">
        <v>1.08</v>
      </c>
      <c r="Q3" s="38">
        <v>1.61</v>
      </c>
      <c r="R3" s="38">
        <v>3.22</v>
      </c>
      <c r="S3" s="38">
        <v>1.31</v>
      </c>
      <c r="T3" s="135"/>
      <c r="U3" s="38">
        <v>0.51</v>
      </c>
      <c r="V3" s="38">
        <v>7.93</v>
      </c>
      <c r="W3" s="38">
        <v>0.53</v>
      </c>
      <c r="X3" s="38">
        <v>1.57</v>
      </c>
      <c r="Y3" s="38">
        <v>1.72</v>
      </c>
      <c r="Z3" s="38">
        <v>4.2300000000000004</v>
      </c>
      <c r="AA3" s="38">
        <v>6.35</v>
      </c>
      <c r="AB3" s="38">
        <v>0</v>
      </c>
      <c r="AC3" s="38">
        <v>1.45</v>
      </c>
      <c r="AD3" s="38">
        <v>1.29</v>
      </c>
      <c r="AE3" s="38">
        <v>3.22</v>
      </c>
      <c r="AF3" s="38">
        <v>1.22</v>
      </c>
      <c r="AG3" s="38">
        <v>2.12</v>
      </c>
      <c r="AH3" s="38">
        <v>3.46</v>
      </c>
      <c r="AI3" s="38">
        <v>1</v>
      </c>
      <c r="AJ3" s="38">
        <v>1.38</v>
      </c>
      <c r="AK3" s="38">
        <v>0.89</v>
      </c>
      <c r="AL3" s="38">
        <v>7.2</v>
      </c>
      <c r="AM3" s="38">
        <v>2.82</v>
      </c>
      <c r="AN3" s="38">
        <v>2.99</v>
      </c>
      <c r="AO3" s="38">
        <v>3.36</v>
      </c>
      <c r="AP3" s="38">
        <v>3.22</v>
      </c>
      <c r="AQ3" s="38">
        <v>4.95</v>
      </c>
      <c r="AR3" s="38">
        <v>1.01</v>
      </c>
    </row>
    <row r="4" spans="1:44" ht="16">
      <c r="A4" s="37">
        <v>1997</v>
      </c>
      <c r="B4" s="38">
        <v>1.78</v>
      </c>
      <c r="C4" s="38">
        <v>1.77</v>
      </c>
      <c r="D4" s="38">
        <v>6.41</v>
      </c>
      <c r="E4" s="38">
        <v>3.45</v>
      </c>
      <c r="F4" s="38">
        <v>2.2400000000000002</v>
      </c>
      <c r="G4" s="38">
        <v>5.63</v>
      </c>
      <c r="H4" s="38">
        <v>2.9</v>
      </c>
      <c r="I4" s="38">
        <v>2.23</v>
      </c>
      <c r="J4" s="38">
        <v>8</v>
      </c>
      <c r="K4" s="38">
        <v>3.7</v>
      </c>
      <c r="L4" s="38">
        <v>1.91</v>
      </c>
      <c r="M4" s="38">
        <v>0.91</v>
      </c>
      <c r="N4" s="38">
        <v>7.7</v>
      </c>
      <c r="O4" s="38">
        <v>3.88</v>
      </c>
      <c r="P4" s="38">
        <v>1.06</v>
      </c>
      <c r="Q4" s="38">
        <v>1.63</v>
      </c>
      <c r="R4" s="38">
        <v>3.46</v>
      </c>
      <c r="S4" s="38">
        <v>1.28</v>
      </c>
      <c r="T4" s="135"/>
      <c r="U4" s="38">
        <v>0.5</v>
      </c>
      <c r="V4" s="38">
        <v>10.1</v>
      </c>
      <c r="W4" s="38">
        <v>0.44</v>
      </c>
      <c r="X4" s="38">
        <v>1.77</v>
      </c>
      <c r="Y4" s="38">
        <v>2.08</v>
      </c>
      <c r="Z4" s="38">
        <v>4.09</v>
      </c>
      <c r="AA4" s="38">
        <v>4.17</v>
      </c>
      <c r="AB4" s="38">
        <v>0</v>
      </c>
      <c r="AC4" s="38">
        <v>1.43</v>
      </c>
      <c r="AD4" s="38">
        <v>1.1599999999999999</v>
      </c>
      <c r="AE4" s="38">
        <v>3.29</v>
      </c>
      <c r="AF4" s="38">
        <v>1.47</v>
      </c>
      <c r="AG4" s="38">
        <v>1.71</v>
      </c>
      <c r="AH4" s="38">
        <v>3.4</v>
      </c>
      <c r="AI4" s="38">
        <v>2.15</v>
      </c>
      <c r="AJ4" s="38">
        <v>1.4</v>
      </c>
      <c r="AK4" s="38">
        <v>0.8</v>
      </c>
      <c r="AL4" s="38">
        <v>6.32</v>
      </c>
      <c r="AM4" s="38">
        <v>0.75</v>
      </c>
      <c r="AN4" s="38">
        <v>3.06</v>
      </c>
      <c r="AO4" s="38">
        <v>3.13</v>
      </c>
      <c r="AP4" s="38">
        <v>3.72</v>
      </c>
      <c r="AQ4" s="38">
        <v>5.56</v>
      </c>
      <c r="AR4" s="38">
        <v>2.61</v>
      </c>
    </row>
    <row r="5" spans="1:44" ht="16">
      <c r="A5" s="37">
        <v>1998</v>
      </c>
      <c r="B5" s="38">
        <v>1.86</v>
      </c>
      <c r="C5" s="38">
        <v>1.5</v>
      </c>
      <c r="D5" s="38">
        <v>7.02</v>
      </c>
      <c r="E5" s="38">
        <v>3.73</v>
      </c>
      <c r="F5" s="38">
        <v>2.12</v>
      </c>
      <c r="G5" s="38">
        <v>5.75</v>
      </c>
      <c r="H5" s="38">
        <v>3.02</v>
      </c>
      <c r="I5" s="38">
        <v>4.5999999999999996</v>
      </c>
      <c r="J5" s="38">
        <v>7.87</v>
      </c>
      <c r="K5" s="38">
        <v>1.65</v>
      </c>
      <c r="L5" s="38">
        <v>4.2</v>
      </c>
      <c r="M5" s="38">
        <v>0.79</v>
      </c>
      <c r="N5" s="38">
        <v>7.63</v>
      </c>
      <c r="O5" s="38">
        <v>3.97</v>
      </c>
      <c r="P5" s="38">
        <v>1.01</v>
      </c>
      <c r="Q5" s="38">
        <v>1.54</v>
      </c>
      <c r="R5" s="38">
        <v>3.38</v>
      </c>
      <c r="S5" s="38">
        <v>1.06</v>
      </c>
      <c r="T5" s="135"/>
      <c r="U5" s="38">
        <v>0.55000000000000004</v>
      </c>
      <c r="V5" s="38">
        <v>4.63</v>
      </c>
      <c r="W5" s="38">
        <v>0.44</v>
      </c>
      <c r="X5" s="38">
        <v>1.85</v>
      </c>
      <c r="Y5" s="38">
        <v>1.37</v>
      </c>
      <c r="Z5" s="38">
        <v>3.69</v>
      </c>
      <c r="AA5" s="38">
        <v>15.45</v>
      </c>
      <c r="AB5" s="38">
        <v>0</v>
      </c>
      <c r="AC5" s="38">
        <v>1.56</v>
      </c>
      <c r="AD5" s="38">
        <v>1.41</v>
      </c>
      <c r="AE5" s="38">
        <v>3.28</v>
      </c>
      <c r="AF5" s="38">
        <v>1.46</v>
      </c>
      <c r="AG5" s="38">
        <v>1.85</v>
      </c>
      <c r="AH5" s="38">
        <v>3.44</v>
      </c>
      <c r="AI5" s="38">
        <v>2.46</v>
      </c>
      <c r="AJ5" s="38">
        <v>1.57</v>
      </c>
      <c r="AK5" s="38">
        <v>1.1200000000000001</v>
      </c>
      <c r="AL5" s="38">
        <v>6.79</v>
      </c>
      <c r="AM5" s="38">
        <v>1.27</v>
      </c>
      <c r="AN5" s="38">
        <v>3</v>
      </c>
      <c r="AO5" s="38">
        <v>3.01</v>
      </c>
      <c r="AP5" s="38">
        <v>4.57</v>
      </c>
      <c r="AQ5" s="38">
        <v>5.46</v>
      </c>
      <c r="AR5" s="38">
        <v>3.49</v>
      </c>
    </row>
    <row r="6" spans="1:44" ht="16">
      <c r="A6" s="37">
        <v>1999</v>
      </c>
      <c r="B6" s="38">
        <v>1.53</v>
      </c>
      <c r="C6" s="38">
        <v>1.46</v>
      </c>
      <c r="D6" s="38">
        <v>6.49</v>
      </c>
      <c r="E6" s="38">
        <v>3.08</v>
      </c>
      <c r="F6" s="38">
        <v>2.15</v>
      </c>
      <c r="G6" s="38">
        <v>5.27</v>
      </c>
      <c r="H6" s="38">
        <v>2.82</v>
      </c>
      <c r="I6" s="38">
        <v>5.89</v>
      </c>
      <c r="J6" s="38">
        <v>7.58</v>
      </c>
      <c r="K6" s="38">
        <v>1.47</v>
      </c>
      <c r="L6" s="38">
        <v>2.59</v>
      </c>
      <c r="M6" s="38">
        <v>0.83</v>
      </c>
      <c r="N6" s="38">
        <v>7.64</v>
      </c>
      <c r="O6" s="38">
        <v>3.64</v>
      </c>
      <c r="P6" s="38">
        <v>0.97</v>
      </c>
      <c r="Q6" s="38">
        <v>1.5</v>
      </c>
      <c r="R6" s="38">
        <v>3.22</v>
      </c>
      <c r="S6" s="38">
        <v>1.07</v>
      </c>
      <c r="T6" s="135"/>
      <c r="U6" s="38">
        <v>0.46</v>
      </c>
      <c r="V6" s="38">
        <v>1.51</v>
      </c>
      <c r="W6" s="38">
        <v>0.31</v>
      </c>
      <c r="X6" s="38">
        <v>2</v>
      </c>
      <c r="Y6" s="38">
        <v>0</v>
      </c>
      <c r="Z6" s="38">
        <v>3.73</v>
      </c>
      <c r="AA6" s="38">
        <v>6.67</v>
      </c>
      <c r="AB6" s="38">
        <v>0</v>
      </c>
      <c r="AC6" s="38">
        <v>1.76</v>
      </c>
      <c r="AD6" s="38">
        <v>1.47</v>
      </c>
      <c r="AE6" s="38">
        <v>3.15</v>
      </c>
      <c r="AF6" s="38">
        <v>1.38</v>
      </c>
      <c r="AG6" s="38">
        <v>2.2200000000000002</v>
      </c>
      <c r="AH6" s="38">
        <v>3.25</v>
      </c>
      <c r="AI6" s="38">
        <v>2.69</v>
      </c>
      <c r="AJ6" s="38">
        <v>1.49</v>
      </c>
      <c r="AK6" s="38">
        <v>0.85</v>
      </c>
      <c r="AL6" s="38">
        <v>5.15</v>
      </c>
      <c r="AM6" s="38">
        <v>1.44</v>
      </c>
      <c r="AN6" s="38">
        <v>2.94</v>
      </c>
      <c r="AO6" s="38">
        <v>3.26</v>
      </c>
      <c r="AP6" s="38">
        <v>4.54</v>
      </c>
      <c r="AQ6" s="38">
        <v>5.22</v>
      </c>
      <c r="AR6" s="38">
        <v>1.04</v>
      </c>
    </row>
    <row r="7" spans="1:44" ht="16">
      <c r="A7" s="37">
        <v>2000</v>
      </c>
      <c r="B7" s="38">
        <v>1.22</v>
      </c>
      <c r="C7" s="38">
        <v>1.03</v>
      </c>
      <c r="D7" s="38">
        <v>6.33</v>
      </c>
      <c r="E7" s="38">
        <v>2.97</v>
      </c>
      <c r="F7" s="38">
        <v>2.12</v>
      </c>
      <c r="G7" s="38">
        <v>4.97</v>
      </c>
      <c r="H7" s="38">
        <v>2.8</v>
      </c>
      <c r="I7" s="38">
        <v>2.02</v>
      </c>
      <c r="J7" s="38">
        <v>7.91</v>
      </c>
      <c r="K7" s="38">
        <v>2.15</v>
      </c>
      <c r="L7" s="38">
        <v>2.98</v>
      </c>
      <c r="M7" s="38">
        <v>0.81</v>
      </c>
      <c r="N7" s="38">
        <v>7.63</v>
      </c>
      <c r="O7" s="38">
        <v>2.96</v>
      </c>
      <c r="P7" s="38">
        <v>1.04</v>
      </c>
      <c r="Q7" s="38">
        <v>1.34</v>
      </c>
      <c r="R7" s="38">
        <v>3.05</v>
      </c>
      <c r="S7" s="38">
        <v>1.06</v>
      </c>
      <c r="T7" s="135"/>
      <c r="U7" s="38">
        <v>0.56999999999999995</v>
      </c>
      <c r="V7" s="38">
        <v>3.09</v>
      </c>
      <c r="W7" s="38">
        <v>1.03</v>
      </c>
      <c r="X7" s="38">
        <v>1.67</v>
      </c>
      <c r="Y7" s="38">
        <v>0.65</v>
      </c>
      <c r="Z7" s="38">
        <v>3.91</v>
      </c>
      <c r="AA7" s="38">
        <v>17.649999999999999</v>
      </c>
      <c r="AB7" s="38">
        <v>0</v>
      </c>
      <c r="AC7" s="38">
        <v>1.76</v>
      </c>
      <c r="AD7" s="38">
        <v>1.56</v>
      </c>
      <c r="AE7" s="38">
        <v>3.11</v>
      </c>
      <c r="AF7" s="38">
        <v>1.38</v>
      </c>
      <c r="AG7" s="38">
        <v>1.89</v>
      </c>
      <c r="AH7" s="38">
        <v>3.1</v>
      </c>
      <c r="AI7" s="38">
        <v>1.9</v>
      </c>
      <c r="AJ7" s="38">
        <v>1.71</v>
      </c>
      <c r="AK7" s="38">
        <v>1.01</v>
      </c>
      <c r="AL7" s="38">
        <v>4.26</v>
      </c>
      <c r="AM7" s="38">
        <v>2.36</v>
      </c>
      <c r="AN7" s="38">
        <v>2.88</v>
      </c>
      <c r="AO7" s="38">
        <v>2.95</v>
      </c>
      <c r="AP7" s="38">
        <v>4.3</v>
      </c>
      <c r="AQ7" s="38">
        <v>4.8</v>
      </c>
      <c r="AR7" s="38">
        <v>2.39</v>
      </c>
    </row>
    <row r="8" spans="1:44" ht="16">
      <c r="A8" s="37">
        <v>2001</v>
      </c>
      <c r="B8" s="38">
        <v>1.25</v>
      </c>
      <c r="C8" s="38">
        <v>1.51</v>
      </c>
      <c r="D8" s="38">
        <v>6.93</v>
      </c>
      <c r="E8" s="38">
        <v>2.88</v>
      </c>
      <c r="F8" s="38">
        <v>2.31</v>
      </c>
      <c r="G8" s="38">
        <v>4.84</v>
      </c>
      <c r="H8" s="38">
        <v>2.5099999999999998</v>
      </c>
      <c r="I8" s="38">
        <v>4.3</v>
      </c>
      <c r="J8" s="38">
        <v>8.02</v>
      </c>
      <c r="K8" s="38">
        <v>3.45</v>
      </c>
      <c r="L8" s="38">
        <v>3.91</v>
      </c>
      <c r="M8" s="38">
        <v>0.87</v>
      </c>
      <c r="N8" s="38">
        <v>7.47</v>
      </c>
      <c r="O8" s="38">
        <v>3.48</v>
      </c>
      <c r="P8" s="38">
        <v>1</v>
      </c>
      <c r="Q8" s="38">
        <v>1.29</v>
      </c>
      <c r="R8" s="38">
        <v>2.72</v>
      </c>
      <c r="S8" s="38">
        <v>1.41</v>
      </c>
      <c r="T8" s="135"/>
      <c r="U8" s="38">
        <v>0.37</v>
      </c>
      <c r="V8" s="38">
        <v>7.41</v>
      </c>
      <c r="W8" s="38">
        <v>0.76</v>
      </c>
      <c r="X8" s="38">
        <v>1.77</v>
      </c>
      <c r="Y8" s="38">
        <v>3.85</v>
      </c>
      <c r="Z8" s="38">
        <v>3.69</v>
      </c>
      <c r="AA8" s="38">
        <v>2.78</v>
      </c>
      <c r="AB8" s="38">
        <v>4.76</v>
      </c>
      <c r="AC8" s="38">
        <v>1.92</v>
      </c>
      <c r="AD8" s="38">
        <v>1.55</v>
      </c>
      <c r="AE8" s="38">
        <v>3.16</v>
      </c>
      <c r="AF8" s="38">
        <v>1.55</v>
      </c>
      <c r="AG8" s="38">
        <v>1.87</v>
      </c>
      <c r="AH8" s="38">
        <v>3.35</v>
      </c>
      <c r="AI8" s="38">
        <v>1.83</v>
      </c>
      <c r="AJ8" s="38">
        <v>1.73</v>
      </c>
      <c r="AK8" s="38">
        <v>0.87</v>
      </c>
      <c r="AL8" s="38">
        <v>4.4400000000000004</v>
      </c>
      <c r="AM8" s="38">
        <v>2.23</v>
      </c>
      <c r="AN8" s="38">
        <v>2.94</v>
      </c>
      <c r="AO8" s="38">
        <v>2.54</v>
      </c>
      <c r="AP8" s="38">
        <v>3.37</v>
      </c>
      <c r="AQ8" s="38">
        <v>4.57</v>
      </c>
      <c r="AR8" s="38">
        <v>0.92</v>
      </c>
    </row>
    <row r="9" spans="1:44" ht="16">
      <c r="A9" s="37">
        <v>2002</v>
      </c>
      <c r="B9" s="38">
        <v>1.1200000000000001</v>
      </c>
      <c r="C9" s="38">
        <v>1.42</v>
      </c>
      <c r="D9" s="38">
        <v>5.82</v>
      </c>
      <c r="E9" s="38">
        <v>2.63</v>
      </c>
      <c r="F9" s="38">
        <v>2.36</v>
      </c>
      <c r="G9" s="38">
        <v>4.8099999999999996</v>
      </c>
      <c r="H9" s="38">
        <v>2.4500000000000002</v>
      </c>
      <c r="I9" s="38">
        <v>1.63</v>
      </c>
      <c r="J9" s="38">
        <v>8.1199999999999992</v>
      </c>
      <c r="K9" s="38">
        <v>1.49</v>
      </c>
      <c r="L9" s="38">
        <v>2.78</v>
      </c>
      <c r="M9" s="38">
        <v>1.03</v>
      </c>
      <c r="N9" s="38">
        <v>7.04</v>
      </c>
      <c r="O9" s="38">
        <v>3.11</v>
      </c>
      <c r="P9" s="38">
        <v>1.01</v>
      </c>
      <c r="Q9" s="38">
        <v>1.46</v>
      </c>
      <c r="R9" s="38">
        <v>2.94</v>
      </c>
      <c r="S9" s="38">
        <v>1.0900000000000001</v>
      </c>
      <c r="T9" s="135"/>
      <c r="U9" s="38">
        <v>0.42</v>
      </c>
      <c r="V9" s="38">
        <v>3.79</v>
      </c>
      <c r="W9" s="38">
        <v>0.6</v>
      </c>
      <c r="X9" s="38">
        <v>1.84</v>
      </c>
      <c r="Y9" s="38">
        <v>2.7</v>
      </c>
      <c r="Z9" s="38">
        <v>3.69</v>
      </c>
      <c r="AA9" s="38">
        <v>4.21</v>
      </c>
      <c r="AB9" s="38">
        <v>0</v>
      </c>
      <c r="AC9" s="38">
        <v>2.0299999999999998</v>
      </c>
      <c r="AD9" s="38">
        <v>1.87</v>
      </c>
      <c r="AE9" s="38">
        <v>3.17</v>
      </c>
      <c r="AF9" s="38">
        <v>1.63</v>
      </c>
      <c r="AG9" s="38">
        <v>1.85</v>
      </c>
      <c r="AH9" s="38">
        <v>3.36</v>
      </c>
      <c r="AI9" s="38">
        <v>2.14</v>
      </c>
      <c r="AJ9" s="38">
        <v>1.77</v>
      </c>
      <c r="AK9" s="38">
        <v>1.05</v>
      </c>
      <c r="AL9" s="38">
        <v>5.08</v>
      </c>
      <c r="AM9" s="38">
        <v>1.92</v>
      </c>
      <c r="AN9" s="38">
        <v>2.95</v>
      </c>
      <c r="AO9" s="38">
        <v>2.97</v>
      </c>
      <c r="AP9" s="38">
        <v>3.7</v>
      </c>
      <c r="AQ9" s="38">
        <v>4.41</v>
      </c>
      <c r="AR9" s="38">
        <v>2.67</v>
      </c>
    </row>
    <row r="10" spans="1:44" ht="16">
      <c r="A10" s="37">
        <v>2003</v>
      </c>
      <c r="B10" s="135"/>
      <c r="C10" s="38">
        <v>1.47</v>
      </c>
      <c r="D10" s="38">
        <v>5.59</v>
      </c>
      <c r="E10" s="38">
        <v>2.61</v>
      </c>
      <c r="F10" s="38">
        <v>2.42</v>
      </c>
      <c r="G10" s="38">
        <v>4.7</v>
      </c>
      <c r="H10" s="38">
        <v>2.3199999999999998</v>
      </c>
      <c r="I10" s="38">
        <v>2.15</v>
      </c>
      <c r="J10" s="38">
        <v>8.31</v>
      </c>
      <c r="K10" s="38">
        <v>2.41</v>
      </c>
      <c r="L10" s="38">
        <v>4.17</v>
      </c>
      <c r="M10" s="38">
        <v>0.81</v>
      </c>
      <c r="N10" s="38">
        <v>6.76</v>
      </c>
      <c r="O10" s="38">
        <v>3.04</v>
      </c>
      <c r="P10" s="38">
        <v>0.9</v>
      </c>
      <c r="Q10" s="38">
        <v>1.18</v>
      </c>
      <c r="R10" s="38">
        <v>2.72</v>
      </c>
      <c r="S10" s="38">
        <v>1.3</v>
      </c>
      <c r="T10" s="38">
        <v>0.74</v>
      </c>
      <c r="U10" s="38">
        <v>0.56999999999999995</v>
      </c>
      <c r="V10" s="135"/>
      <c r="W10" s="38">
        <v>0.76</v>
      </c>
      <c r="X10" s="38">
        <v>1.56</v>
      </c>
      <c r="Y10" s="38">
        <v>2.02</v>
      </c>
      <c r="Z10" s="38">
        <v>4.72</v>
      </c>
      <c r="AA10" s="38">
        <v>6.74</v>
      </c>
      <c r="AB10" s="38">
        <v>0</v>
      </c>
      <c r="AC10" s="38">
        <v>2.2999999999999998</v>
      </c>
      <c r="AD10" s="38">
        <v>1.52</v>
      </c>
      <c r="AE10" s="38">
        <v>3.15</v>
      </c>
      <c r="AF10" s="38">
        <v>1.69</v>
      </c>
      <c r="AG10" s="38">
        <v>1.57</v>
      </c>
      <c r="AH10" s="38">
        <v>3.21</v>
      </c>
      <c r="AI10" s="38">
        <v>14.29</v>
      </c>
      <c r="AJ10" s="38">
        <v>1.76</v>
      </c>
      <c r="AK10" s="38">
        <v>1.01</v>
      </c>
      <c r="AL10" s="135"/>
      <c r="AM10" s="38">
        <v>3.25</v>
      </c>
      <c r="AN10" s="38">
        <v>3.42</v>
      </c>
      <c r="AO10" s="38">
        <v>2.35</v>
      </c>
      <c r="AP10" s="38">
        <v>2.98</v>
      </c>
      <c r="AQ10" s="38">
        <v>4.2699999999999996</v>
      </c>
      <c r="AR10" s="135"/>
    </row>
    <row r="11" spans="1:44" ht="16">
      <c r="A11" s="37">
        <v>2004</v>
      </c>
      <c r="B11" s="135"/>
      <c r="C11" s="38">
        <v>1.32</v>
      </c>
      <c r="D11" s="38">
        <v>4.84</v>
      </c>
      <c r="E11" s="38">
        <v>2.34</v>
      </c>
      <c r="F11" s="38">
        <v>2.5499999999999998</v>
      </c>
      <c r="G11" s="38">
        <v>4.7</v>
      </c>
      <c r="H11" s="38">
        <v>2.17</v>
      </c>
      <c r="I11" s="38">
        <v>1.87</v>
      </c>
      <c r="J11" s="38">
        <v>8.43</v>
      </c>
      <c r="K11" s="38">
        <v>0</v>
      </c>
      <c r="L11" s="38">
        <v>3.79</v>
      </c>
      <c r="M11" s="38">
        <v>0.91</v>
      </c>
      <c r="N11" s="38">
        <v>7.08</v>
      </c>
      <c r="O11" s="38">
        <v>3.48</v>
      </c>
      <c r="P11" s="38">
        <v>1.01</v>
      </c>
      <c r="Q11" s="38">
        <v>1.23</v>
      </c>
      <c r="R11" s="38">
        <v>2.39</v>
      </c>
      <c r="S11" s="38">
        <v>1.21</v>
      </c>
      <c r="T11" s="38">
        <v>0.65</v>
      </c>
      <c r="U11" s="38">
        <v>0.6</v>
      </c>
      <c r="V11" s="135"/>
      <c r="W11" s="38">
        <v>0.74</v>
      </c>
      <c r="X11" s="38">
        <v>1.64</v>
      </c>
      <c r="Y11" s="38">
        <v>0</v>
      </c>
      <c r="Z11" s="38">
        <v>4.8</v>
      </c>
      <c r="AA11" s="38">
        <v>5.29</v>
      </c>
      <c r="AB11" s="38">
        <v>0</v>
      </c>
      <c r="AC11" s="38">
        <v>2.0499999999999998</v>
      </c>
      <c r="AD11" s="38">
        <v>1.59</v>
      </c>
      <c r="AE11" s="38">
        <v>3.16</v>
      </c>
      <c r="AF11" s="38">
        <v>1.58</v>
      </c>
      <c r="AG11" s="38">
        <v>1.56</v>
      </c>
      <c r="AH11" s="38">
        <v>3.53</v>
      </c>
      <c r="AI11" s="38">
        <v>3.28</v>
      </c>
      <c r="AJ11" s="38">
        <v>1.78</v>
      </c>
      <c r="AK11" s="38">
        <v>0.95</v>
      </c>
      <c r="AL11" s="135"/>
      <c r="AM11" s="38">
        <v>1.03</v>
      </c>
      <c r="AN11" s="38">
        <v>3.4</v>
      </c>
      <c r="AO11" s="38">
        <v>2.5299999999999998</v>
      </c>
      <c r="AP11" s="38">
        <v>3.13</v>
      </c>
      <c r="AQ11" s="38">
        <v>3.99</v>
      </c>
      <c r="AR11" s="135"/>
    </row>
    <row r="12" spans="1:44" ht="16">
      <c r="A12" s="37">
        <v>2005</v>
      </c>
      <c r="B12" s="135"/>
      <c r="C12" s="38">
        <v>1.47</v>
      </c>
      <c r="D12" s="38">
        <v>4.99</v>
      </c>
      <c r="E12" s="38">
        <v>2.2000000000000002</v>
      </c>
      <c r="F12" s="38">
        <v>2.93</v>
      </c>
      <c r="G12" s="38">
        <v>4.88</v>
      </c>
      <c r="H12" s="38">
        <v>2.17</v>
      </c>
      <c r="I12" s="38">
        <v>3.62</v>
      </c>
      <c r="J12" s="38">
        <v>7.31</v>
      </c>
      <c r="K12" s="38">
        <v>2.54</v>
      </c>
      <c r="L12" s="38">
        <v>4.5199999999999996</v>
      </c>
      <c r="M12" s="38">
        <v>0.78</v>
      </c>
      <c r="N12" s="38">
        <v>7.23</v>
      </c>
      <c r="O12" s="38">
        <v>3.32</v>
      </c>
      <c r="P12" s="38">
        <v>0.95</v>
      </c>
      <c r="Q12" s="38">
        <v>1.21</v>
      </c>
      <c r="R12" s="38">
        <v>2.37</v>
      </c>
      <c r="S12" s="38">
        <v>1.4</v>
      </c>
      <c r="T12" s="38">
        <v>0.7</v>
      </c>
      <c r="U12" s="38">
        <v>0.62</v>
      </c>
      <c r="V12" s="135"/>
      <c r="W12" s="38">
        <v>0.69</v>
      </c>
      <c r="X12" s="38">
        <v>1.82</v>
      </c>
      <c r="Y12" s="38">
        <v>0</v>
      </c>
      <c r="Z12" s="38">
        <v>4.96</v>
      </c>
      <c r="AA12" s="38">
        <v>3.4</v>
      </c>
      <c r="AB12" s="38">
        <v>0</v>
      </c>
      <c r="AC12" s="38">
        <v>2.2599999999999998</v>
      </c>
      <c r="AD12" s="38">
        <v>1.8</v>
      </c>
      <c r="AE12" s="38">
        <v>3.12</v>
      </c>
      <c r="AF12" s="38">
        <v>1.65</v>
      </c>
      <c r="AG12" s="38">
        <v>1.27</v>
      </c>
      <c r="AH12" s="38">
        <v>3.95</v>
      </c>
      <c r="AI12" s="38">
        <v>1.52</v>
      </c>
      <c r="AJ12" s="38">
        <v>1.75</v>
      </c>
      <c r="AK12" s="38">
        <v>0.95</v>
      </c>
      <c r="AL12" s="135"/>
      <c r="AM12" s="38">
        <v>2.1</v>
      </c>
      <c r="AN12" s="38">
        <v>3.24</v>
      </c>
      <c r="AO12" s="38">
        <v>1.8</v>
      </c>
      <c r="AP12" s="38">
        <v>2.97</v>
      </c>
      <c r="AQ12" s="38">
        <v>3.54</v>
      </c>
      <c r="AR12" s="135"/>
    </row>
    <row r="13" spans="1:44" ht="16">
      <c r="A13" s="37">
        <v>2006</v>
      </c>
      <c r="B13" s="135"/>
      <c r="C13" s="38">
        <v>1.35</v>
      </c>
      <c r="D13" s="38">
        <v>4.22</v>
      </c>
      <c r="E13" s="38">
        <v>2.2200000000000002</v>
      </c>
      <c r="F13" s="38">
        <v>2.9</v>
      </c>
      <c r="G13" s="38">
        <v>4.93</v>
      </c>
      <c r="H13" s="38">
        <v>2.09</v>
      </c>
      <c r="I13" s="38">
        <v>2.57</v>
      </c>
      <c r="J13" s="38">
        <v>6.43</v>
      </c>
      <c r="K13" s="38">
        <v>2.04</v>
      </c>
      <c r="L13" s="38">
        <v>5.94</v>
      </c>
      <c r="M13" s="38">
        <v>0.95</v>
      </c>
      <c r="N13" s="38">
        <v>6.96</v>
      </c>
      <c r="O13" s="38">
        <v>2.62</v>
      </c>
      <c r="P13" s="38">
        <v>0.9</v>
      </c>
      <c r="Q13" s="38">
        <v>1.17</v>
      </c>
      <c r="R13" s="38">
        <v>2.2599999999999998</v>
      </c>
      <c r="S13" s="38">
        <v>1.72</v>
      </c>
      <c r="T13" s="38">
        <v>0.67</v>
      </c>
      <c r="U13" s="38">
        <v>0.9</v>
      </c>
      <c r="V13" s="135"/>
      <c r="W13" s="38">
        <v>0.78</v>
      </c>
      <c r="X13" s="38">
        <v>1.75</v>
      </c>
      <c r="Y13" s="38">
        <v>0</v>
      </c>
      <c r="Z13" s="38">
        <v>5.04</v>
      </c>
      <c r="AA13" s="38">
        <v>3.03</v>
      </c>
      <c r="AB13" s="38">
        <v>0</v>
      </c>
      <c r="AC13" s="38">
        <v>2.58</v>
      </c>
      <c r="AD13" s="38">
        <v>1.8</v>
      </c>
      <c r="AE13" s="38">
        <v>3.08</v>
      </c>
      <c r="AF13" s="38">
        <v>1.61</v>
      </c>
      <c r="AG13" s="38">
        <v>1.28</v>
      </c>
      <c r="AH13" s="38">
        <v>4.1100000000000003</v>
      </c>
      <c r="AI13" s="38">
        <v>1.82</v>
      </c>
      <c r="AJ13" s="38">
        <v>1.78</v>
      </c>
      <c r="AK13" s="38">
        <v>1.38</v>
      </c>
      <c r="AL13" s="135"/>
      <c r="AM13" s="38">
        <v>2.17</v>
      </c>
      <c r="AN13" s="38">
        <v>3.28</v>
      </c>
      <c r="AO13" s="38">
        <v>2.0099999999999998</v>
      </c>
      <c r="AP13" s="38">
        <v>2.5299999999999998</v>
      </c>
      <c r="AQ13" s="38">
        <v>3.54</v>
      </c>
      <c r="AR13" s="135"/>
    </row>
    <row r="14" spans="1:44" ht="16">
      <c r="A14" s="37">
        <v>2007</v>
      </c>
      <c r="B14" s="135"/>
      <c r="C14" s="38">
        <v>1.47</v>
      </c>
      <c r="D14" s="38">
        <v>4.22</v>
      </c>
      <c r="E14" s="38">
        <v>2.4500000000000002</v>
      </c>
      <c r="F14" s="38">
        <v>2.93</v>
      </c>
      <c r="G14" s="38">
        <v>4.82</v>
      </c>
      <c r="H14" s="38">
        <v>2.0099999999999998</v>
      </c>
      <c r="I14" s="38">
        <v>2.7</v>
      </c>
      <c r="J14" s="38">
        <v>5.71</v>
      </c>
      <c r="K14" s="38">
        <v>0.75</v>
      </c>
      <c r="L14" s="38">
        <v>4.55</v>
      </c>
      <c r="M14" s="38">
        <v>0.9</v>
      </c>
      <c r="N14" s="38">
        <v>6.48</v>
      </c>
      <c r="O14" s="38">
        <v>2.4900000000000002</v>
      </c>
      <c r="P14" s="38">
        <v>1.01</v>
      </c>
      <c r="Q14" s="38">
        <v>1.26</v>
      </c>
      <c r="R14" s="38">
        <v>1.97</v>
      </c>
      <c r="S14" s="38">
        <v>1.92</v>
      </c>
      <c r="T14" s="38">
        <v>0.6</v>
      </c>
      <c r="U14" s="38">
        <v>1.23</v>
      </c>
      <c r="V14" s="135"/>
      <c r="W14" s="38">
        <v>0.77</v>
      </c>
      <c r="X14" s="38">
        <v>1.64</v>
      </c>
      <c r="Y14" s="38">
        <v>0</v>
      </c>
      <c r="Z14" s="38">
        <v>4.2699999999999996</v>
      </c>
      <c r="AA14" s="38">
        <v>2.87</v>
      </c>
      <c r="AB14" s="38">
        <v>0</v>
      </c>
      <c r="AC14" s="38">
        <v>2.42</v>
      </c>
      <c r="AD14" s="38">
        <v>1.71</v>
      </c>
      <c r="AE14" s="38">
        <v>2.98</v>
      </c>
      <c r="AF14" s="38">
        <v>1.75</v>
      </c>
      <c r="AG14" s="38">
        <v>1.43</v>
      </c>
      <c r="AH14" s="38">
        <v>3.8</v>
      </c>
      <c r="AI14" s="38">
        <v>0</v>
      </c>
      <c r="AJ14" s="38">
        <v>1.72</v>
      </c>
      <c r="AK14" s="38">
        <v>1.4</v>
      </c>
      <c r="AL14" s="135"/>
      <c r="AM14" s="38">
        <v>4.8899999999999997</v>
      </c>
      <c r="AN14" s="38">
        <v>3.19</v>
      </c>
      <c r="AO14" s="38">
        <v>1.92</v>
      </c>
      <c r="AP14" s="38">
        <v>2.11</v>
      </c>
      <c r="AQ14" s="38">
        <v>3.46</v>
      </c>
      <c r="AR14" s="135"/>
    </row>
    <row r="15" spans="1:44" ht="16">
      <c r="A15" s="37">
        <v>2008</v>
      </c>
      <c r="B15" s="135"/>
      <c r="C15" s="38">
        <v>1.34</v>
      </c>
      <c r="D15" s="38">
        <v>4.22</v>
      </c>
      <c r="E15" s="38">
        <v>1.99</v>
      </c>
      <c r="F15" s="38">
        <v>2.8</v>
      </c>
      <c r="G15" s="38">
        <v>4.43</v>
      </c>
      <c r="H15" s="38">
        <v>1.98</v>
      </c>
      <c r="I15" s="38">
        <v>2.91</v>
      </c>
      <c r="J15" s="38">
        <v>4.6399999999999997</v>
      </c>
      <c r="K15" s="38">
        <v>0</v>
      </c>
      <c r="L15" s="38">
        <v>3.01</v>
      </c>
      <c r="M15" s="38">
        <v>0.94</v>
      </c>
      <c r="N15" s="38">
        <v>6</v>
      </c>
      <c r="O15" s="38">
        <v>2.44</v>
      </c>
      <c r="P15" s="38">
        <v>0.96</v>
      </c>
      <c r="Q15" s="38">
        <v>1.1499999999999999</v>
      </c>
      <c r="R15" s="38">
        <v>2.25</v>
      </c>
      <c r="S15" s="38">
        <v>1.61</v>
      </c>
      <c r="T15" s="38">
        <v>0.67</v>
      </c>
      <c r="U15" s="38">
        <v>1</v>
      </c>
      <c r="V15" s="38">
        <v>2.39</v>
      </c>
      <c r="W15" s="38">
        <v>0.74</v>
      </c>
      <c r="X15" s="38">
        <v>2.91</v>
      </c>
      <c r="Y15" s="38">
        <v>0</v>
      </c>
      <c r="Z15" s="38">
        <v>4.49</v>
      </c>
      <c r="AA15" s="38">
        <v>4.29</v>
      </c>
      <c r="AB15" s="38">
        <v>0</v>
      </c>
      <c r="AC15" s="38">
        <v>2.52</v>
      </c>
      <c r="AD15" s="38">
        <v>1.22</v>
      </c>
      <c r="AE15" s="38">
        <v>2.81</v>
      </c>
      <c r="AF15" s="38">
        <v>1.66</v>
      </c>
      <c r="AG15" s="38">
        <v>1.25</v>
      </c>
      <c r="AH15" s="38">
        <v>3.84</v>
      </c>
      <c r="AI15" s="38">
        <v>3.03</v>
      </c>
      <c r="AJ15" s="38">
        <v>1.58</v>
      </c>
      <c r="AK15" s="38">
        <v>1.25</v>
      </c>
      <c r="AL15" s="135"/>
      <c r="AM15" s="38">
        <v>3.14</v>
      </c>
      <c r="AN15" s="38">
        <v>3.17</v>
      </c>
      <c r="AO15" s="38">
        <v>2.23</v>
      </c>
      <c r="AP15" s="38">
        <v>2.1800000000000002</v>
      </c>
      <c r="AQ15" s="38">
        <v>3.11</v>
      </c>
      <c r="AR15" s="135"/>
    </row>
    <row r="16" spans="1:44" ht="16">
      <c r="A16" s="37">
        <v>2009</v>
      </c>
      <c r="B16" s="135"/>
      <c r="C16" s="38">
        <v>1.26</v>
      </c>
      <c r="D16" s="38">
        <v>4.0599999999999996</v>
      </c>
      <c r="E16" s="38">
        <v>2.72</v>
      </c>
      <c r="F16" s="38">
        <v>2.86</v>
      </c>
      <c r="G16" s="38">
        <v>4.3600000000000003</v>
      </c>
      <c r="H16" s="38">
        <v>1.97</v>
      </c>
      <c r="I16" s="38">
        <v>2.75</v>
      </c>
      <c r="J16" s="38">
        <v>4.7300000000000004</v>
      </c>
      <c r="K16" s="38">
        <v>0</v>
      </c>
      <c r="L16" s="38">
        <v>2.64</v>
      </c>
      <c r="M16" s="38">
        <v>0.95</v>
      </c>
      <c r="N16" s="38">
        <v>5.84</v>
      </c>
      <c r="O16" s="38">
        <v>2.84</v>
      </c>
      <c r="P16" s="38">
        <v>0.88</v>
      </c>
      <c r="Q16" s="38">
        <v>1.31</v>
      </c>
      <c r="R16" s="38">
        <v>2.1800000000000002</v>
      </c>
      <c r="S16" s="38">
        <v>1.7</v>
      </c>
      <c r="T16" s="38">
        <v>0.71</v>
      </c>
      <c r="U16" s="38">
        <v>0.75</v>
      </c>
      <c r="V16" s="135"/>
      <c r="W16" s="38">
        <v>0.86</v>
      </c>
      <c r="X16" s="38">
        <v>3.47</v>
      </c>
      <c r="Y16" s="38">
        <v>0</v>
      </c>
      <c r="Z16" s="38">
        <v>4.79</v>
      </c>
      <c r="AA16" s="38">
        <v>3.44</v>
      </c>
      <c r="AB16" s="38">
        <v>1.82</v>
      </c>
      <c r="AC16" s="38">
        <v>2.38</v>
      </c>
      <c r="AD16" s="38">
        <v>1.45</v>
      </c>
      <c r="AE16" s="38">
        <v>2.84</v>
      </c>
      <c r="AF16" s="38">
        <v>1.63</v>
      </c>
      <c r="AG16" s="38">
        <v>1.23</v>
      </c>
      <c r="AH16" s="38">
        <v>3.91</v>
      </c>
      <c r="AI16" s="38">
        <v>3.45</v>
      </c>
      <c r="AJ16" s="38">
        <v>1.7</v>
      </c>
      <c r="AK16" s="38">
        <v>1.18</v>
      </c>
      <c r="AL16" s="135"/>
      <c r="AM16" s="38">
        <v>1.53</v>
      </c>
      <c r="AN16" s="38">
        <v>3.25</v>
      </c>
      <c r="AO16" s="38">
        <v>2.12</v>
      </c>
      <c r="AP16" s="38">
        <v>2.79</v>
      </c>
      <c r="AQ16" s="38">
        <v>3.15</v>
      </c>
      <c r="AR16" s="135"/>
    </row>
    <row r="17" spans="1:44" ht="16">
      <c r="A17" s="37">
        <v>2010</v>
      </c>
      <c r="B17" s="135"/>
      <c r="C17" s="38">
        <v>1.61</v>
      </c>
      <c r="D17" s="38">
        <v>4.16</v>
      </c>
      <c r="E17" s="38">
        <v>2.25</v>
      </c>
      <c r="F17" s="38">
        <v>2.85</v>
      </c>
      <c r="G17" s="38">
        <v>4.4000000000000004</v>
      </c>
      <c r="H17" s="38">
        <v>1.97</v>
      </c>
      <c r="I17" s="38">
        <v>2.4700000000000002</v>
      </c>
      <c r="J17" s="38">
        <v>4.6500000000000004</v>
      </c>
      <c r="K17" s="38">
        <v>0</v>
      </c>
      <c r="L17" s="38">
        <v>3.44</v>
      </c>
      <c r="M17" s="38">
        <v>0.95</v>
      </c>
      <c r="N17" s="38">
        <v>6.14</v>
      </c>
      <c r="O17" s="38">
        <v>2.78</v>
      </c>
      <c r="P17" s="38">
        <v>0.98</v>
      </c>
      <c r="Q17" s="38">
        <v>1.32</v>
      </c>
      <c r="R17" s="38">
        <v>1.81</v>
      </c>
      <c r="S17" s="38">
        <v>1.59</v>
      </c>
      <c r="T17" s="38">
        <v>0.69</v>
      </c>
      <c r="U17" s="38">
        <v>0.7</v>
      </c>
      <c r="V17" s="135"/>
      <c r="W17" s="38">
        <v>0.85</v>
      </c>
      <c r="X17" s="38">
        <v>3.45</v>
      </c>
      <c r="Y17" s="38">
        <v>0</v>
      </c>
      <c r="Z17" s="38">
        <v>5.53</v>
      </c>
      <c r="AA17" s="38">
        <v>3.4</v>
      </c>
      <c r="AB17" s="38">
        <v>0</v>
      </c>
      <c r="AC17" s="38">
        <v>1.8</v>
      </c>
      <c r="AD17" s="38">
        <v>1.44</v>
      </c>
      <c r="AE17" s="38">
        <v>2.86</v>
      </c>
      <c r="AF17" s="38">
        <v>1.42</v>
      </c>
      <c r="AG17" s="38">
        <v>1.47</v>
      </c>
      <c r="AH17" s="38">
        <v>3.93</v>
      </c>
      <c r="AI17" s="38">
        <v>6.9</v>
      </c>
      <c r="AJ17" s="38">
        <v>1.74</v>
      </c>
      <c r="AK17" s="38">
        <v>1.27</v>
      </c>
      <c r="AL17" s="135"/>
      <c r="AM17" s="38">
        <v>5.97</v>
      </c>
      <c r="AN17" s="38">
        <v>3.44</v>
      </c>
      <c r="AO17" s="38">
        <v>2.1</v>
      </c>
      <c r="AP17" s="38">
        <v>1.78</v>
      </c>
      <c r="AQ17" s="38">
        <v>3.14</v>
      </c>
      <c r="AR17" s="135"/>
    </row>
    <row r="18" spans="1:44" ht="16">
      <c r="A18" s="37">
        <v>2011</v>
      </c>
      <c r="B18" s="135"/>
      <c r="C18" s="38">
        <v>1.52</v>
      </c>
      <c r="D18" s="38">
        <v>4.54</v>
      </c>
      <c r="E18" s="38">
        <v>2.39</v>
      </c>
      <c r="F18" s="38">
        <v>2.99</v>
      </c>
      <c r="G18" s="38">
        <v>4.88</v>
      </c>
      <c r="H18" s="38">
        <v>2.12</v>
      </c>
      <c r="I18" s="38">
        <v>2.54</v>
      </c>
      <c r="J18" s="38">
        <v>4.6399999999999997</v>
      </c>
      <c r="K18" s="38">
        <v>1.22</v>
      </c>
      <c r="L18" s="38">
        <v>3.15</v>
      </c>
      <c r="M18" s="38">
        <v>1.06</v>
      </c>
      <c r="N18" s="38">
        <v>6.78</v>
      </c>
      <c r="O18" s="38">
        <v>2.81</v>
      </c>
      <c r="P18" s="38">
        <v>1.06</v>
      </c>
      <c r="Q18" s="38">
        <v>1.39</v>
      </c>
      <c r="R18" s="38">
        <v>2.06</v>
      </c>
      <c r="S18" s="38">
        <v>1.44</v>
      </c>
      <c r="T18" s="38">
        <v>0.74</v>
      </c>
      <c r="U18" s="38">
        <v>0.53</v>
      </c>
      <c r="V18" s="135"/>
      <c r="W18" s="38">
        <v>0.63</v>
      </c>
      <c r="X18" s="38">
        <v>2.2799999999999998</v>
      </c>
      <c r="Y18" s="38">
        <v>0</v>
      </c>
      <c r="Z18" s="38">
        <v>6.89</v>
      </c>
      <c r="AA18" s="38">
        <v>7.96</v>
      </c>
      <c r="AB18" s="38">
        <v>0</v>
      </c>
      <c r="AC18" s="38">
        <v>1.81</v>
      </c>
      <c r="AD18" s="38">
        <v>1.51</v>
      </c>
      <c r="AE18" s="38">
        <v>3.04</v>
      </c>
      <c r="AF18" s="38">
        <v>1.6</v>
      </c>
      <c r="AG18" s="38">
        <v>1.53</v>
      </c>
      <c r="AH18" s="38">
        <v>4.12</v>
      </c>
      <c r="AI18" s="38">
        <v>11.63</v>
      </c>
      <c r="AJ18" s="38">
        <v>1.65</v>
      </c>
      <c r="AK18" s="38">
        <v>1.03</v>
      </c>
      <c r="AL18" s="135"/>
      <c r="AM18" s="38">
        <v>10.46</v>
      </c>
      <c r="AN18" s="38">
        <v>3.97</v>
      </c>
      <c r="AO18" s="38">
        <v>2.62</v>
      </c>
      <c r="AP18" s="38">
        <v>3.02</v>
      </c>
      <c r="AQ18" s="38">
        <v>3.37</v>
      </c>
      <c r="AR18" s="135"/>
    </row>
    <row r="19" spans="1:44" ht="16">
      <c r="A19" s="37">
        <v>2012</v>
      </c>
      <c r="B19" s="135"/>
      <c r="C19" s="38">
        <v>1.51</v>
      </c>
      <c r="D19" s="38">
        <v>5.8</v>
      </c>
      <c r="E19" s="38">
        <v>2.59</v>
      </c>
      <c r="F19" s="38">
        <v>2.87</v>
      </c>
      <c r="G19" s="38">
        <v>5.62</v>
      </c>
      <c r="H19" s="38">
        <v>2.41</v>
      </c>
      <c r="I19" s="38">
        <v>4.16</v>
      </c>
      <c r="J19" s="38">
        <v>4.93</v>
      </c>
      <c r="K19" s="38">
        <v>0.8</v>
      </c>
      <c r="L19" s="38">
        <v>2.11</v>
      </c>
      <c r="M19" s="38">
        <v>0.96</v>
      </c>
      <c r="N19" s="38">
        <v>7.7</v>
      </c>
      <c r="O19" s="38">
        <v>2.92</v>
      </c>
      <c r="P19" s="38">
        <v>1</v>
      </c>
      <c r="Q19" s="38">
        <v>1.41</v>
      </c>
      <c r="R19" s="38">
        <v>1.97</v>
      </c>
      <c r="S19" s="38">
        <v>1.39</v>
      </c>
      <c r="T19" s="38">
        <v>0.7</v>
      </c>
      <c r="U19" s="38">
        <v>0.56000000000000005</v>
      </c>
      <c r="V19" s="135"/>
      <c r="W19" s="38">
        <v>1.47</v>
      </c>
      <c r="X19" s="38">
        <v>1.95</v>
      </c>
      <c r="Y19" s="38">
        <v>0</v>
      </c>
      <c r="Z19" s="38">
        <v>8.69</v>
      </c>
      <c r="AA19" s="38">
        <v>12.8</v>
      </c>
      <c r="AB19" s="38">
        <v>2.33</v>
      </c>
      <c r="AC19" s="38">
        <v>1.98</v>
      </c>
      <c r="AD19" s="38">
        <v>1.48</v>
      </c>
      <c r="AE19" s="38">
        <v>3.27</v>
      </c>
      <c r="AF19" s="38">
        <v>1.54</v>
      </c>
      <c r="AG19" s="38">
        <v>1.58</v>
      </c>
      <c r="AH19" s="38">
        <v>4.1399999999999997</v>
      </c>
      <c r="AI19" s="38">
        <v>0</v>
      </c>
      <c r="AJ19" s="38">
        <v>1.82</v>
      </c>
      <c r="AK19" s="38">
        <v>1.05</v>
      </c>
      <c r="AL19" s="135"/>
      <c r="AM19" s="38">
        <v>4.4000000000000004</v>
      </c>
      <c r="AN19" s="38">
        <v>4.2699999999999996</v>
      </c>
      <c r="AO19" s="38">
        <v>2.0299999999999998</v>
      </c>
      <c r="AP19" s="38">
        <v>2.71</v>
      </c>
      <c r="AQ19" s="38">
        <v>3.52</v>
      </c>
      <c r="AR19" s="135"/>
    </row>
    <row r="20" spans="1:44" ht="16">
      <c r="A20" s="37">
        <v>2013</v>
      </c>
      <c r="B20" s="135"/>
      <c r="C20" s="38">
        <v>2.02</v>
      </c>
      <c r="D20" s="38">
        <v>6.63</v>
      </c>
      <c r="E20" s="38">
        <v>2.46</v>
      </c>
      <c r="F20" s="38">
        <v>2.88</v>
      </c>
      <c r="G20" s="38">
        <v>6.32</v>
      </c>
      <c r="H20" s="38">
        <v>2.69</v>
      </c>
      <c r="I20" s="38">
        <v>4.01</v>
      </c>
      <c r="J20" s="38">
        <v>4.62</v>
      </c>
      <c r="K20" s="38">
        <v>0.41</v>
      </c>
      <c r="L20" s="38">
        <v>1.48</v>
      </c>
      <c r="M20" s="38">
        <v>0.87</v>
      </c>
      <c r="N20" s="38">
        <v>7.79</v>
      </c>
      <c r="O20" s="38">
        <v>3.57</v>
      </c>
      <c r="P20" s="38">
        <v>1.06</v>
      </c>
      <c r="Q20" s="38">
        <v>1.4</v>
      </c>
      <c r="R20" s="38">
        <v>2.17</v>
      </c>
      <c r="S20" s="38">
        <v>1.28</v>
      </c>
      <c r="T20" s="38">
        <v>0.76</v>
      </c>
      <c r="U20" s="38">
        <v>0.59</v>
      </c>
      <c r="V20" s="135"/>
      <c r="W20" s="38">
        <v>0.99</v>
      </c>
      <c r="X20" s="38">
        <v>2</v>
      </c>
      <c r="Y20" s="38">
        <v>0</v>
      </c>
      <c r="Z20" s="38">
        <v>10.14</v>
      </c>
      <c r="AA20" s="38">
        <v>8.42</v>
      </c>
      <c r="AB20" s="38">
        <v>0.95</v>
      </c>
      <c r="AC20" s="38">
        <v>2.0099999999999998</v>
      </c>
      <c r="AD20" s="38">
        <v>1.79</v>
      </c>
      <c r="AE20" s="38">
        <v>3.49</v>
      </c>
      <c r="AF20" s="38">
        <v>1.4</v>
      </c>
      <c r="AG20" s="38">
        <v>1.77</v>
      </c>
      <c r="AH20" s="38">
        <v>4.66</v>
      </c>
      <c r="AI20" s="38">
        <v>5.56</v>
      </c>
      <c r="AJ20" s="38">
        <v>1.93</v>
      </c>
      <c r="AK20" s="38">
        <v>1.03</v>
      </c>
      <c r="AL20" s="135"/>
      <c r="AM20" s="38">
        <v>4.09</v>
      </c>
      <c r="AN20" s="38">
        <v>4.91</v>
      </c>
      <c r="AO20" s="38">
        <v>2.33</v>
      </c>
      <c r="AP20" s="38">
        <v>2.79</v>
      </c>
      <c r="AQ20" s="38">
        <v>3.77</v>
      </c>
      <c r="AR20" s="135"/>
    </row>
    <row r="21" spans="1:44" ht="16">
      <c r="A21" s="37">
        <v>2014</v>
      </c>
      <c r="B21" s="135"/>
      <c r="C21" s="38">
        <v>2.12</v>
      </c>
      <c r="D21" s="38">
        <v>7.23</v>
      </c>
      <c r="E21" s="38">
        <v>3.21</v>
      </c>
      <c r="F21" s="38">
        <v>2.64</v>
      </c>
      <c r="G21" s="38">
        <v>6.66</v>
      </c>
      <c r="H21" s="38">
        <v>2.77</v>
      </c>
      <c r="I21" s="38">
        <v>3.16</v>
      </c>
      <c r="J21" s="38">
        <v>5.03</v>
      </c>
      <c r="K21" s="38">
        <v>0.37</v>
      </c>
      <c r="L21" s="38">
        <v>1.76</v>
      </c>
      <c r="M21" s="38">
        <v>0.89</v>
      </c>
      <c r="N21" s="38">
        <v>8.1199999999999992</v>
      </c>
      <c r="O21" s="38">
        <v>4.03</v>
      </c>
      <c r="P21" s="38">
        <v>1.1399999999999999</v>
      </c>
      <c r="Q21" s="38">
        <v>1.57</v>
      </c>
      <c r="R21" s="38">
        <v>2.15</v>
      </c>
      <c r="S21" s="38">
        <v>1.17</v>
      </c>
      <c r="T21" s="38">
        <v>0.84</v>
      </c>
      <c r="U21" s="38">
        <v>0.69</v>
      </c>
      <c r="V21" s="135"/>
      <c r="W21" s="38">
        <v>2.34</v>
      </c>
      <c r="X21" s="38">
        <v>1.86</v>
      </c>
      <c r="Y21" s="38">
        <v>0</v>
      </c>
      <c r="Z21" s="38">
        <v>11.56</v>
      </c>
      <c r="AA21" s="38">
        <v>6.92</v>
      </c>
      <c r="AB21" s="38">
        <v>1.62</v>
      </c>
      <c r="AC21" s="38">
        <v>2.29</v>
      </c>
      <c r="AD21" s="38">
        <v>1.83</v>
      </c>
      <c r="AE21" s="38">
        <v>3.67</v>
      </c>
      <c r="AF21" s="38">
        <v>1.5</v>
      </c>
      <c r="AG21" s="38">
        <v>2.2000000000000002</v>
      </c>
      <c r="AH21" s="38">
        <v>4.78</v>
      </c>
      <c r="AI21" s="38">
        <v>5.41</v>
      </c>
      <c r="AJ21" s="38">
        <v>2.08</v>
      </c>
      <c r="AK21" s="38">
        <v>1.01</v>
      </c>
      <c r="AL21" s="135"/>
      <c r="AM21" s="38">
        <v>2.4</v>
      </c>
      <c r="AN21" s="38">
        <v>5.55</v>
      </c>
      <c r="AO21" s="38">
        <v>2.4300000000000002</v>
      </c>
      <c r="AP21" s="38">
        <v>3.78</v>
      </c>
      <c r="AQ21" s="38">
        <v>3.95</v>
      </c>
      <c r="AR21" s="135"/>
    </row>
    <row r="22" spans="1:44" ht="16">
      <c r="A22" s="37">
        <v>2015</v>
      </c>
      <c r="B22" s="135"/>
      <c r="C22" s="38">
        <v>2.2200000000000002</v>
      </c>
      <c r="D22" s="38">
        <v>8.5500000000000007</v>
      </c>
      <c r="E22" s="38">
        <v>3.21</v>
      </c>
      <c r="F22" s="38">
        <v>2.6</v>
      </c>
      <c r="G22" s="38">
        <v>6.92</v>
      </c>
      <c r="H22" s="38">
        <v>3.21</v>
      </c>
      <c r="I22" s="38">
        <v>3.09</v>
      </c>
      <c r="J22" s="38">
        <v>5.59</v>
      </c>
      <c r="K22" s="38">
        <v>1.62</v>
      </c>
      <c r="L22" s="38">
        <v>1.64</v>
      </c>
      <c r="M22" s="38">
        <v>0.98</v>
      </c>
      <c r="N22" s="38">
        <v>8.68</v>
      </c>
      <c r="O22" s="38">
        <v>5.32</v>
      </c>
      <c r="P22" s="38">
        <v>1.28</v>
      </c>
      <c r="Q22" s="38">
        <v>1.66</v>
      </c>
      <c r="R22" s="38">
        <v>2.4700000000000002</v>
      </c>
      <c r="S22" s="38">
        <v>1.0900000000000001</v>
      </c>
      <c r="T22" s="38">
        <v>1.01</v>
      </c>
      <c r="U22" s="38">
        <v>0.66</v>
      </c>
      <c r="V22" s="135"/>
      <c r="W22" s="38">
        <v>1.55</v>
      </c>
      <c r="X22" s="38">
        <v>1.95</v>
      </c>
      <c r="Y22" s="38">
        <v>0</v>
      </c>
      <c r="Z22" s="38">
        <v>12.9</v>
      </c>
      <c r="AA22" s="38">
        <v>6.33</v>
      </c>
      <c r="AB22" s="38">
        <v>1.81</v>
      </c>
      <c r="AC22" s="38">
        <v>2.4300000000000002</v>
      </c>
      <c r="AD22" s="38">
        <v>1.91</v>
      </c>
      <c r="AE22" s="38">
        <v>3.95</v>
      </c>
      <c r="AF22" s="38">
        <v>1.59</v>
      </c>
      <c r="AG22" s="38">
        <v>2.5499999999999998</v>
      </c>
      <c r="AH22" s="38">
        <v>4.9400000000000004</v>
      </c>
      <c r="AI22" s="38">
        <v>8.33</v>
      </c>
      <c r="AJ22" s="38">
        <v>2.15</v>
      </c>
      <c r="AK22" s="38">
        <v>1.1000000000000001</v>
      </c>
      <c r="AL22" s="135"/>
      <c r="AM22" s="38">
        <v>3.79</v>
      </c>
      <c r="AN22" s="38">
        <v>6.37</v>
      </c>
      <c r="AO22" s="38">
        <v>2.5299999999999998</v>
      </c>
      <c r="AP22" s="38">
        <v>4.8</v>
      </c>
      <c r="AQ22" s="38">
        <v>4.51</v>
      </c>
      <c r="AR22" s="135"/>
    </row>
    <row r="23" spans="1:44" ht="16">
      <c r="A23" s="37">
        <v>2016</v>
      </c>
      <c r="B23" s="135"/>
      <c r="C23" s="38">
        <v>2.27</v>
      </c>
      <c r="D23" s="38">
        <v>10.58</v>
      </c>
      <c r="E23" s="38">
        <v>3.63</v>
      </c>
      <c r="F23" s="38">
        <v>2.81</v>
      </c>
      <c r="G23" s="38">
        <v>7.3</v>
      </c>
      <c r="H23" s="38">
        <v>3.48</v>
      </c>
      <c r="I23" s="38">
        <v>4.42</v>
      </c>
      <c r="J23" s="38">
        <v>6.26</v>
      </c>
      <c r="K23" s="38">
        <v>1.33</v>
      </c>
      <c r="L23" s="38">
        <v>2.4700000000000002</v>
      </c>
      <c r="M23" s="38">
        <v>1.07</v>
      </c>
      <c r="N23" s="38">
        <v>9.35</v>
      </c>
      <c r="O23" s="38">
        <v>6.02</v>
      </c>
      <c r="P23" s="38">
        <v>1.33</v>
      </c>
      <c r="Q23" s="38">
        <v>1.93</v>
      </c>
      <c r="R23" s="38">
        <v>2.71</v>
      </c>
      <c r="S23" s="38">
        <v>1.1299999999999999</v>
      </c>
      <c r="T23" s="38">
        <v>1.19</v>
      </c>
      <c r="U23" s="38">
        <v>0.86</v>
      </c>
      <c r="V23" s="135"/>
      <c r="W23" s="38">
        <v>1.49</v>
      </c>
      <c r="X23" s="38">
        <v>2.0099999999999998</v>
      </c>
      <c r="Y23" s="38">
        <v>0</v>
      </c>
      <c r="Z23" s="38">
        <v>14.98</v>
      </c>
      <c r="AA23" s="38">
        <v>9.33</v>
      </c>
      <c r="AB23" s="38">
        <v>0.28000000000000003</v>
      </c>
      <c r="AC23" s="38">
        <v>2.69</v>
      </c>
      <c r="AD23" s="38">
        <v>1.97</v>
      </c>
      <c r="AE23" s="38">
        <v>4.34</v>
      </c>
      <c r="AF23" s="38">
        <v>1.65</v>
      </c>
      <c r="AG23" s="38">
        <v>2.96</v>
      </c>
      <c r="AH23" s="38">
        <v>5.28</v>
      </c>
      <c r="AI23" s="38">
        <v>15.69</v>
      </c>
      <c r="AJ23" s="38">
        <v>2.44</v>
      </c>
      <c r="AK23" s="38">
        <v>1.1100000000000001</v>
      </c>
      <c r="AL23" s="135"/>
      <c r="AM23" s="38">
        <v>2.9</v>
      </c>
      <c r="AN23" s="38">
        <v>7.01</v>
      </c>
      <c r="AO23" s="38">
        <v>2.17</v>
      </c>
      <c r="AP23" s="38">
        <v>6.18</v>
      </c>
      <c r="AQ23" s="38">
        <v>5.5</v>
      </c>
      <c r="AR23" s="135"/>
    </row>
    <row r="24" spans="1:44" ht="16">
      <c r="A24" s="37">
        <v>2017</v>
      </c>
      <c r="B24" s="135"/>
      <c r="C24" s="38">
        <v>2.56</v>
      </c>
      <c r="D24" s="38">
        <v>12.49</v>
      </c>
      <c r="E24" s="38">
        <v>4.18</v>
      </c>
      <c r="F24" s="38">
        <v>2.95</v>
      </c>
      <c r="G24" s="38">
        <v>7.36</v>
      </c>
      <c r="H24" s="38">
        <v>3.76</v>
      </c>
      <c r="I24" s="38">
        <v>5.25</v>
      </c>
      <c r="J24" s="38">
        <v>7.11</v>
      </c>
      <c r="K24" s="38">
        <v>1.96</v>
      </c>
      <c r="L24" s="38">
        <v>3.8</v>
      </c>
      <c r="M24" s="38">
        <v>1.05</v>
      </c>
      <c r="N24" s="38">
        <v>10.1</v>
      </c>
      <c r="O24" s="38">
        <v>7.47</v>
      </c>
      <c r="P24" s="38">
        <v>1.39</v>
      </c>
      <c r="Q24" s="38">
        <v>2.0699999999999998</v>
      </c>
      <c r="R24" s="38">
        <v>3.01</v>
      </c>
      <c r="S24" s="38">
        <v>1.0900000000000001</v>
      </c>
      <c r="T24" s="38">
        <v>1.19</v>
      </c>
      <c r="U24" s="38">
        <v>1</v>
      </c>
      <c r="V24" s="135"/>
      <c r="W24" s="38">
        <v>1.21</v>
      </c>
      <c r="X24" s="38">
        <v>1.88</v>
      </c>
      <c r="Y24" s="38">
        <v>0</v>
      </c>
      <c r="Z24" s="38">
        <v>16.940000000000001</v>
      </c>
      <c r="AA24" s="38">
        <v>4.01</v>
      </c>
      <c r="AB24" s="38">
        <v>1.49</v>
      </c>
      <c r="AC24" s="38">
        <v>2.96</v>
      </c>
      <c r="AD24" s="38">
        <v>2.2000000000000002</v>
      </c>
      <c r="AE24" s="38">
        <v>4.62</v>
      </c>
      <c r="AF24" s="38">
        <v>1.97</v>
      </c>
      <c r="AG24" s="38">
        <v>3.25</v>
      </c>
      <c r="AH24" s="38">
        <v>5.73</v>
      </c>
      <c r="AI24" s="38">
        <v>3.12</v>
      </c>
      <c r="AJ24" s="38">
        <v>2.58</v>
      </c>
      <c r="AK24" s="38">
        <v>1.18</v>
      </c>
      <c r="AL24" s="135"/>
      <c r="AM24" s="38">
        <v>2.92</v>
      </c>
      <c r="AN24" s="38">
        <v>7.28</v>
      </c>
      <c r="AO24" s="38">
        <v>2.5</v>
      </c>
      <c r="AP24" s="38">
        <v>7.15</v>
      </c>
      <c r="AQ24" s="38">
        <v>6.08</v>
      </c>
      <c r="AR24" s="135"/>
    </row>
    <row r="25" spans="1:44" ht="16">
      <c r="A25" s="37">
        <v>2018</v>
      </c>
      <c r="B25" s="135"/>
      <c r="C25" s="38">
        <v>2.73</v>
      </c>
      <c r="D25" s="38">
        <v>13.64</v>
      </c>
      <c r="E25" s="38">
        <v>4.8</v>
      </c>
      <c r="F25" s="38">
        <v>3.16</v>
      </c>
      <c r="G25" s="38">
        <v>7.36</v>
      </c>
      <c r="H25" s="38">
        <v>3.91</v>
      </c>
      <c r="I25" s="38">
        <v>5.39</v>
      </c>
      <c r="J25" s="38">
        <v>8.43</v>
      </c>
      <c r="K25" s="38">
        <v>4.6399999999999997</v>
      </c>
      <c r="L25" s="38">
        <v>4.07</v>
      </c>
      <c r="M25" s="38">
        <v>1.19</v>
      </c>
      <c r="N25" s="38">
        <v>10.8</v>
      </c>
      <c r="O25" s="38">
        <v>7.94</v>
      </c>
      <c r="P25" s="38">
        <v>1.38</v>
      </c>
      <c r="Q25" s="38">
        <v>2.2999999999999998</v>
      </c>
      <c r="R25" s="38">
        <v>3.7</v>
      </c>
      <c r="S25" s="38">
        <v>1.1299999999999999</v>
      </c>
      <c r="T25" s="38">
        <v>1.41</v>
      </c>
      <c r="U25" s="38">
        <v>1.19</v>
      </c>
      <c r="V25" s="135"/>
      <c r="W25" s="38">
        <v>1.5</v>
      </c>
      <c r="X25" s="38">
        <v>2.19</v>
      </c>
      <c r="Y25" s="38">
        <v>0</v>
      </c>
      <c r="Z25" s="38">
        <v>17.37</v>
      </c>
      <c r="AA25" s="38">
        <v>3.74</v>
      </c>
      <c r="AB25" s="38">
        <v>1.83</v>
      </c>
      <c r="AC25" s="38">
        <v>3.47</v>
      </c>
      <c r="AD25" s="38">
        <v>2.62</v>
      </c>
      <c r="AE25" s="38">
        <v>4.9000000000000004</v>
      </c>
      <c r="AF25" s="38">
        <v>1.98</v>
      </c>
      <c r="AG25" s="38">
        <v>3.39</v>
      </c>
      <c r="AH25" s="38">
        <v>6.21</v>
      </c>
      <c r="AI25" s="38">
        <v>13.33</v>
      </c>
      <c r="AJ25" s="38">
        <v>2.75</v>
      </c>
      <c r="AK25" s="38">
        <v>1.23</v>
      </c>
      <c r="AL25" s="135"/>
      <c r="AM25" s="38">
        <v>3.15</v>
      </c>
      <c r="AN25" s="38">
        <v>7.58</v>
      </c>
      <c r="AO25" s="38">
        <v>2.23</v>
      </c>
      <c r="AP25" s="38">
        <v>8.1199999999999992</v>
      </c>
      <c r="AQ25" s="38">
        <v>6.4</v>
      </c>
      <c r="AR25" s="135"/>
    </row>
    <row r="26" spans="1:44" ht="16">
      <c r="A26" s="37">
        <v>2019</v>
      </c>
      <c r="B26" s="135"/>
      <c r="C26" s="38">
        <v>2.85</v>
      </c>
      <c r="D26" s="38">
        <v>13.93</v>
      </c>
      <c r="E26" s="38">
        <v>4.45</v>
      </c>
      <c r="F26" s="38">
        <v>3.31</v>
      </c>
      <c r="G26" s="38">
        <v>7.24</v>
      </c>
      <c r="H26" s="38">
        <v>3.94</v>
      </c>
      <c r="I26" s="38">
        <v>5.68</v>
      </c>
      <c r="J26" s="38">
        <v>8.9499999999999993</v>
      </c>
      <c r="K26" s="38">
        <v>11.54</v>
      </c>
      <c r="L26" s="38">
        <v>4.6900000000000004</v>
      </c>
      <c r="M26" s="38">
        <v>1.25</v>
      </c>
      <c r="N26" s="38">
        <v>10.72</v>
      </c>
      <c r="O26" s="38">
        <v>7.58</v>
      </c>
      <c r="P26" s="38">
        <v>1.56</v>
      </c>
      <c r="Q26" s="38">
        <v>2.5299999999999998</v>
      </c>
      <c r="R26" s="38">
        <v>4.2</v>
      </c>
      <c r="S26" s="38">
        <v>1.1499999999999999</v>
      </c>
      <c r="T26" s="38">
        <v>1.56</v>
      </c>
      <c r="U26" s="38">
        <v>1.37</v>
      </c>
      <c r="V26" s="135"/>
      <c r="W26" s="38">
        <v>2.2400000000000002</v>
      </c>
      <c r="X26" s="38">
        <v>2.2999999999999998</v>
      </c>
      <c r="Y26" s="38">
        <v>0</v>
      </c>
      <c r="Z26" s="38">
        <v>18.8</v>
      </c>
      <c r="AA26" s="38">
        <v>2.66</v>
      </c>
      <c r="AB26" s="38">
        <v>1.92</v>
      </c>
      <c r="AC26" s="38">
        <v>4.13</v>
      </c>
      <c r="AD26" s="38">
        <v>2.69</v>
      </c>
      <c r="AE26" s="38">
        <v>5.03</v>
      </c>
      <c r="AF26" s="38">
        <v>2.13</v>
      </c>
      <c r="AG26" s="38">
        <v>3.95</v>
      </c>
      <c r="AH26" s="38">
        <v>6.99</v>
      </c>
      <c r="AI26" s="38">
        <v>17.02</v>
      </c>
      <c r="AJ26" s="38">
        <v>2.93</v>
      </c>
      <c r="AK26" s="38">
        <v>1.24</v>
      </c>
      <c r="AL26" s="135"/>
      <c r="AM26" s="38">
        <v>2.38</v>
      </c>
      <c r="AN26" s="38">
        <v>7.72</v>
      </c>
      <c r="AO26" s="38">
        <v>2.17</v>
      </c>
      <c r="AP26" s="38">
        <v>7.48</v>
      </c>
      <c r="AQ26" s="38">
        <v>6.39</v>
      </c>
      <c r="AR26" s="135"/>
    </row>
    <row r="27" spans="1:44" ht="16">
      <c r="A27" s="37">
        <v>2020</v>
      </c>
      <c r="B27" s="135"/>
      <c r="C27" s="38">
        <v>3.18</v>
      </c>
      <c r="D27" s="38">
        <v>12.6</v>
      </c>
      <c r="E27" s="38">
        <v>4.7300000000000004</v>
      </c>
      <c r="F27" s="38">
        <v>3.37</v>
      </c>
      <c r="G27" s="38">
        <v>7.14</v>
      </c>
      <c r="H27" s="38">
        <v>4.24</v>
      </c>
      <c r="I27" s="38">
        <v>6.52</v>
      </c>
      <c r="J27" s="38">
        <v>9.83</v>
      </c>
      <c r="K27" s="38">
        <v>1.72</v>
      </c>
      <c r="L27" s="38">
        <v>3.76</v>
      </c>
      <c r="M27" s="38">
        <v>1.3</v>
      </c>
      <c r="N27" s="38">
        <v>10.76</v>
      </c>
      <c r="O27" s="38">
        <v>7.2</v>
      </c>
      <c r="P27" s="38">
        <v>1.49</v>
      </c>
      <c r="Q27" s="38">
        <v>2.6</v>
      </c>
      <c r="R27" s="38">
        <v>4.34</v>
      </c>
      <c r="S27" s="38">
        <v>1.2</v>
      </c>
      <c r="T27" s="38">
        <v>1.57</v>
      </c>
      <c r="U27" s="38">
        <v>1.44</v>
      </c>
      <c r="V27" s="135"/>
      <c r="W27" s="38">
        <v>1.87</v>
      </c>
      <c r="X27" s="38">
        <v>2.29</v>
      </c>
      <c r="Y27" s="38">
        <v>0</v>
      </c>
      <c r="Z27" s="38">
        <v>20.66</v>
      </c>
      <c r="AA27" s="38">
        <v>2.58</v>
      </c>
      <c r="AB27" s="38">
        <v>1.8</v>
      </c>
      <c r="AC27" s="38">
        <v>4.32</v>
      </c>
      <c r="AD27" s="38">
        <v>2.62</v>
      </c>
      <c r="AE27" s="38">
        <v>5.16</v>
      </c>
      <c r="AF27" s="38">
        <v>2.2599999999999998</v>
      </c>
      <c r="AG27" s="38">
        <v>3.71</v>
      </c>
      <c r="AH27" s="38">
        <v>7.17</v>
      </c>
      <c r="AI27" s="38">
        <v>15.38</v>
      </c>
      <c r="AJ27" s="38">
        <v>3.13</v>
      </c>
      <c r="AK27" s="38">
        <v>1.41</v>
      </c>
      <c r="AL27" s="135"/>
      <c r="AM27" s="38">
        <v>1.94</v>
      </c>
      <c r="AN27" s="38">
        <v>7.69</v>
      </c>
      <c r="AO27" s="38">
        <v>2.5099999999999998</v>
      </c>
      <c r="AP27" s="38">
        <v>6.31</v>
      </c>
      <c r="AQ27" s="38">
        <v>6.67</v>
      </c>
      <c r="AR27" s="135"/>
    </row>
    <row r="28" spans="1:44" ht="16">
      <c r="A28" s="37">
        <v>2021</v>
      </c>
      <c r="B28" s="135"/>
      <c r="C28" s="38">
        <v>3.01</v>
      </c>
      <c r="D28" s="38">
        <v>10.69</v>
      </c>
      <c r="E28" s="38">
        <v>4.62</v>
      </c>
      <c r="F28" s="38">
        <v>3.29</v>
      </c>
      <c r="G28" s="38">
        <v>6.56</v>
      </c>
      <c r="H28" s="38">
        <v>4.05</v>
      </c>
      <c r="I28" s="38">
        <v>6.59</v>
      </c>
      <c r="J28" s="38">
        <v>10.199999999999999</v>
      </c>
      <c r="K28" s="38">
        <v>0.9</v>
      </c>
      <c r="L28" s="38">
        <v>4.5</v>
      </c>
      <c r="M28" s="38">
        <v>1.32</v>
      </c>
      <c r="N28" s="38">
        <v>9.93</v>
      </c>
      <c r="O28" s="38">
        <v>6.09</v>
      </c>
      <c r="P28" s="38">
        <v>1.56</v>
      </c>
      <c r="Q28" s="38">
        <v>2.3199999999999998</v>
      </c>
      <c r="R28" s="38">
        <v>4.12</v>
      </c>
      <c r="S28" s="38">
        <v>1.28</v>
      </c>
      <c r="T28" s="38">
        <v>1.49</v>
      </c>
      <c r="U28" s="38">
        <v>1.1299999999999999</v>
      </c>
      <c r="V28" s="135"/>
      <c r="W28" s="38">
        <v>1.7</v>
      </c>
      <c r="X28" s="38">
        <v>2.19</v>
      </c>
      <c r="Y28" s="38">
        <v>0</v>
      </c>
      <c r="Z28" s="38">
        <v>20.46</v>
      </c>
      <c r="AA28" s="38">
        <v>4.3</v>
      </c>
      <c r="AB28" s="38">
        <v>1.81</v>
      </c>
      <c r="AC28" s="38">
        <v>4.4800000000000004</v>
      </c>
      <c r="AD28" s="38">
        <v>2.2400000000000002</v>
      </c>
      <c r="AE28" s="38">
        <v>4.93</v>
      </c>
      <c r="AF28" s="38">
        <v>2.4500000000000002</v>
      </c>
      <c r="AG28" s="38">
        <v>3.99</v>
      </c>
      <c r="AH28" s="38">
        <v>7.11</v>
      </c>
      <c r="AI28" s="38">
        <v>17.86</v>
      </c>
      <c r="AJ28" s="38">
        <v>3.01</v>
      </c>
      <c r="AK28" s="38">
        <v>1.33</v>
      </c>
      <c r="AL28" s="135"/>
      <c r="AM28" s="38">
        <v>1.32</v>
      </c>
      <c r="AN28" s="38">
        <v>7.73</v>
      </c>
      <c r="AO28" s="38">
        <v>2.08</v>
      </c>
      <c r="AP28" s="38">
        <v>7.79</v>
      </c>
      <c r="AQ28" s="38">
        <v>6.13</v>
      </c>
      <c r="AR28" s="135"/>
    </row>
    <row r="29" spans="1:44" ht="16">
      <c r="A29" s="37">
        <v>2022</v>
      </c>
      <c r="B29" s="135"/>
      <c r="C29" s="38">
        <v>2.64</v>
      </c>
      <c r="D29" s="38">
        <v>10.55</v>
      </c>
      <c r="E29" s="38">
        <v>4.6399999999999997</v>
      </c>
      <c r="F29" s="38">
        <v>3.29</v>
      </c>
      <c r="G29" s="38">
        <v>5.78</v>
      </c>
      <c r="H29" s="38">
        <v>3.95</v>
      </c>
      <c r="I29" s="38">
        <v>7.52</v>
      </c>
      <c r="J29" s="38">
        <v>9.8000000000000007</v>
      </c>
      <c r="K29" s="38">
        <v>0.49</v>
      </c>
      <c r="L29" s="38">
        <v>3.5</v>
      </c>
      <c r="M29" s="38">
        <v>1.29</v>
      </c>
      <c r="N29" s="38">
        <v>8.75</v>
      </c>
      <c r="O29" s="38">
        <v>5.26</v>
      </c>
      <c r="P29" s="38">
        <v>1.45</v>
      </c>
      <c r="Q29" s="38">
        <v>2.11</v>
      </c>
      <c r="R29" s="38">
        <v>4.29</v>
      </c>
      <c r="S29" s="38">
        <v>1.1499999999999999</v>
      </c>
      <c r="T29" s="38">
        <v>1.51</v>
      </c>
      <c r="U29" s="38">
        <v>1.05</v>
      </c>
      <c r="V29" s="135"/>
      <c r="W29" s="38">
        <v>1.71</v>
      </c>
      <c r="X29" s="38">
        <v>2.1800000000000002</v>
      </c>
      <c r="Y29" s="38">
        <v>0</v>
      </c>
      <c r="Z29" s="38">
        <v>20.49</v>
      </c>
      <c r="AA29" s="38">
        <v>0.45</v>
      </c>
      <c r="AB29" s="38">
        <v>1.24</v>
      </c>
      <c r="AC29" s="38">
        <v>4.5999999999999996</v>
      </c>
      <c r="AD29" s="38">
        <v>2.29</v>
      </c>
      <c r="AE29" s="38">
        <v>4.6500000000000004</v>
      </c>
      <c r="AF29" s="38">
        <v>2.5099999999999998</v>
      </c>
      <c r="AG29" s="38">
        <v>3.86</v>
      </c>
      <c r="AH29" s="38">
        <v>7.02</v>
      </c>
      <c r="AI29" s="38">
        <v>0</v>
      </c>
      <c r="AJ29" s="38">
        <v>3</v>
      </c>
      <c r="AK29" s="38">
        <v>1.23</v>
      </c>
      <c r="AL29" s="135"/>
      <c r="AM29" s="38">
        <v>3.15</v>
      </c>
      <c r="AN29" s="38">
        <v>7.42</v>
      </c>
      <c r="AO29" s="38">
        <v>3.12</v>
      </c>
      <c r="AP29" s="38">
        <v>7.18</v>
      </c>
      <c r="AQ29" s="38">
        <v>6.29</v>
      </c>
      <c r="AR29" s="135"/>
    </row>
    <row r="30" spans="1:44" ht="16">
      <c r="A30" s="37">
        <v>2023</v>
      </c>
      <c r="B30" s="135"/>
      <c r="C30" s="38">
        <v>2.2799999999999998</v>
      </c>
      <c r="D30" s="38">
        <v>8.56</v>
      </c>
      <c r="E30" s="38">
        <v>3.89</v>
      </c>
      <c r="F30" s="38">
        <v>3.22</v>
      </c>
      <c r="G30" s="38">
        <v>5.3</v>
      </c>
      <c r="H30" s="38">
        <v>4.08</v>
      </c>
      <c r="I30" s="38">
        <v>6.76</v>
      </c>
      <c r="J30" s="38">
        <v>9.15</v>
      </c>
      <c r="K30" s="38">
        <v>1.59</v>
      </c>
      <c r="L30" s="38">
        <v>4.1900000000000004</v>
      </c>
      <c r="M30" s="38">
        <v>1.18</v>
      </c>
      <c r="N30" s="38">
        <v>7.91</v>
      </c>
      <c r="O30" s="38">
        <v>4.55</v>
      </c>
      <c r="P30" s="38">
        <v>1.3</v>
      </c>
      <c r="Q30" s="38">
        <v>1.64</v>
      </c>
      <c r="R30" s="38">
        <v>3.61</v>
      </c>
      <c r="S30" s="38">
        <v>1.1399999999999999</v>
      </c>
      <c r="T30" s="38">
        <v>1.4</v>
      </c>
      <c r="U30" s="38">
        <v>0.9</v>
      </c>
      <c r="V30" s="135"/>
      <c r="W30" s="38">
        <v>1.72</v>
      </c>
      <c r="X30" s="38">
        <v>2.1</v>
      </c>
      <c r="Y30" s="38">
        <v>0.72</v>
      </c>
      <c r="Z30" s="38">
        <v>19.89</v>
      </c>
      <c r="AA30" s="38">
        <v>2.4900000000000002</v>
      </c>
      <c r="AB30" s="38">
        <v>1.23</v>
      </c>
      <c r="AC30" s="38">
        <v>5.68</v>
      </c>
      <c r="AD30" s="38">
        <v>1.93</v>
      </c>
      <c r="AE30" s="38">
        <v>4.42</v>
      </c>
      <c r="AF30" s="38">
        <v>2.39</v>
      </c>
      <c r="AG30" s="38">
        <v>4.1900000000000004</v>
      </c>
      <c r="AH30" s="38">
        <v>6.77</v>
      </c>
      <c r="AI30" s="38">
        <v>24.44</v>
      </c>
      <c r="AJ30" s="38">
        <v>2.85</v>
      </c>
      <c r="AK30" s="38">
        <v>0.74</v>
      </c>
      <c r="AL30" s="135"/>
      <c r="AM30" s="38">
        <v>2.48</v>
      </c>
      <c r="AN30" s="38">
        <v>7.2</v>
      </c>
      <c r="AO30" s="38">
        <v>1.84</v>
      </c>
      <c r="AP30" s="38">
        <v>8.52</v>
      </c>
      <c r="AQ30" s="38">
        <v>6.05</v>
      </c>
      <c r="AR30" s="135"/>
    </row>
    <row r="31" spans="1:44" ht="16">
      <c r="A31" s="37">
        <v>2024</v>
      </c>
      <c r="B31" s="135"/>
      <c r="C31" s="38">
        <v>1.99</v>
      </c>
      <c r="D31" s="38">
        <v>8.1</v>
      </c>
      <c r="E31" s="38">
        <v>3.39</v>
      </c>
      <c r="F31" s="38">
        <v>3.11</v>
      </c>
      <c r="G31" s="38">
        <v>4.83</v>
      </c>
      <c r="H31" s="38">
        <v>3.85</v>
      </c>
      <c r="I31" s="38">
        <v>7.49</v>
      </c>
      <c r="J31" s="38">
        <v>8.17</v>
      </c>
      <c r="K31" s="38">
        <v>1.23</v>
      </c>
      <c r="L31" s="38">
        <v>4.37</v>
      </c>
      <c r="M31" s="38">
        <v>1.01</v>
      </c>
      <c r="N31" s="38">
        <v>7.09</v>
      </c>
      <c r="O31" s="38">
        <v>3.73</v>
      </c>
      <c r="P31" s="38">
        <v>1.26</v>
      </c>
      <c r="Q31" s="38">
        <v>1.37</v>
      </c>
      <c r="R31" s="38">
        <v>3.01</v>
      </c>
      <c r="S31" s="38">
        <v>1.0900000000000001</v>
      </c>
      <c r="T31" s="38">
        <v>1.18</v>
      </c>
      <c r="U31" s="38">
        <v>0.84</v>
      </c>
      <c r="V31" s="135"/>
      <c r="W31" s="38">
        <v>1.47</v>
      </c>
      <c r="X31" s="38">
        <v>2.0299999999999998</v>
      </c>
      <c r="Y31" s="38">
        <v>0</v>
      </c>
      <c r="Z31" s="38">
        <v>17.04</v>
      </c>
      <c r="AA31" s="38">
        <v>0.49</v>
      </c>
      <c r="AB31" s="38">
        <v>1.6</v>
      </c>
      <c r="AC31" s="38">
        <v>5.47</v>
      </c>
      <c r="AD31" s="38">
        <v>1.81</v>
      </c>
      <c r="AE31" s="38">
        <v>4.09</v>
      </c>
      <c r="AF31" s="38">
        <v>2.29</v>
      </c>
      <c r="AG31" s="38">
        <v>3.93</v>
      </c>
      <c r="AH31" s="38">
        <v>6.27</v>
      </c>
      <c r="AI31" s="38">
        <v>24.24</v>
      </c>
      <c r="AJ31" s="38">
        <v>2.7</v>
      </c>
      <c r="AK31" s="38">
        <v>0.99</v>
      </c>
      <c r="AL31" s="135"/>
      <c r="AM31" s="38">
        <v>2.61</v>
      </c>
      <c r="AN31" s="38">
        <v>6.94</v>
      </c>
      <c r="AO31" s="38">
        <v>2.2999999999999998</v>
      </c>
      <c r="AP31" s="38">
        <v>9.17</v>
      </c>
      <c r="AQ31" s="38">
        <v>5.7</v>
      </c>
      <c r="AR31" s="135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R31"/>
  <sheetViews>
    <sheetView workbookViewId="0">
      <selection sqref="A1:AR31"/>
    </sheetView>
  </sheetViews>
  <sheetFormatPr baseColWidth="10" defaultColWidth="8.83203125" defaultRowHeight="15"/>
  <sheetData>
    <row r="1" spans="1:44">
      <c r="A1" s="37" t="s">
        <v>0</v>
      </c>
      <c r="B1" s="37" t="s">
        <v>601</v>
      </c>
      <c r="C1" s="37" t="s">
        <v>602</v>
      </c>
      <c r="D1" s="37" t="s">
        <v>603</v>
      </c>
      <c r="E1" s="37" t="s">
        <v>604</v>
      </c>
      <c r="F1" s="37" t="s">
        <v>605</v>
      </c>
      <c r="G1" s="37" t="s">
        <v>606</v>
      </c>
      <c r="H1" s="37" t="s">
        <v>607</v>
      </c>
      <c r="I1" s="37" t="s">
        <v>608</v>
      </c>
      <c r="J1" s="37" t="s">
        <v>609</v>
      </c>
      <c r="K1" s="37" t="s">
        <v>610</v>
      </c>
      <c r="L1" s="37" t="s">
        <v>611</v>
      </c>
      <c r="M1" s="37" t="s">
        <v>383</v>
      </c>
      <c r="N1" s="37" t="s">
        <v>355</v>
      </c>
      <c r="O1" s="37" t="s">
        <v>612</v>
      </c>
      <c r="P1" s="37" t="s">
        <v>613</v>
      </c>
      <c r="Q1" s="37" t="s">
        <v>614</v>
      </c>
      <c r="R1" s="37" t="s">
        <v>615</v>
      </c>
      <c r="S1" s="37" t="s">
        <v>616</v>
      </c>
      <c r="T1" s="37" t="s">
        <v>356</v>
      </c>
      <c r="U1" s="37" t="s">
        <v>617</v>
      </c>
      <c r="V1" s="37" t="s">
        <v>618</v>
      </c>
      <c r="W1" s="37" t="s">
        <v>619</v>
      </c>
      <c r="X1" s="37" t="s">
        <v>620</v>
      </c>
      <c r="Y1" s="37" t="s">
        <v>621</v>
      </c>
      <c r="Z1" s="37" t="s">
        <v>622</v>
      </c>
      <c r="AA1" s="37" t="s">
        <v>623</v>
      </c>
      <c r="AB1" s="37" t="s">
        <v>624</v>
      </c>
      <c r="AC1" s="37" t="s">
        <v>625</v>
      </c>
      <c r="AD1" s="37" t="s">
        <v>626</v>
      </c>
      <c r="AE1" s="37" t="s">
        <v>433</v>
      </c>
      <c r="AF1" s="37" t="s">
        <v>627</v>
      </c>
      <c r="AG1" s="37" t="s">
        <v>628</v>
      </c>
      <c r="AH1" s="37" t="s">
        <v>389</v>
      </c>
      <c r="AI1" s="37" t="s">
        <v>629</v>
      </c>
      <c r="AJ1" s="37" t="s">
        <v>357</v>
      </c>
      <c r="AK1" s="37" t="s">
        <v>630</v>
      </c>
      <c r="AL1" s="37" t="s">
        <v>631</v>
      </c>
      <c r="AM1" s="37" t="s">
        <v>632</v>
      </c>
      <c r="AN1" s="37" t="s">
        <v>392</v>
      </c>
      <c r="AO1" s="37" t="s">
        <v>633</v>
      </c>
      <c r="AP1" s="37" t="s">
        <v>634</v>
      </c>
      <c r="AQ1" s="37" t="s">
        <v>635</v>
      </c>
      <c r="AR1" s="37" t="s">
        <v>636</v>
      </c>
    </row>
    <row r="2" spans="1:44" ht="16">
      <c r="A2" s="37">
        <v>1995</v>
      </c>
      <c r="B2" s="38">
        <v>27.29</v>
      </c>
      <c r="C2" s="38">
        <v>33.69</v>
      </c>
      <c r="D2" s="38">
        <v>18.079999999999998</v>
      </c>
      <c r="E2" s="38">
        <v>11.48</v>
      </c>
      <c r="F2" s="38">
        <v>16.23</v>
      </c>
      <c r="G2" s="38">
        <v>15.07</v>
      </c>
      <c r="H2" s="38">
        <v>16.5</v>
      </c>
      <c r="I2" s="38">
        <v>31.69</v>
      </c>
      <c r="J2" s="38">
        <v>37.5</v>
      </c>
      <c r="K2" s="38">
        <v>42.86</v>
      </c>
      <c r="L2" s="135"/>
      <c r="M2" s="38">
        <v>3.11</v>
      </c>
      <c r="N2" s="38">
        <v>33.9</v>
      </c>
      <c r="O2" s="38">
        <v>14.45</v>
      </c>
      <c r="P2" s="38">
        <v>4.57</v>
      </c>
      <c r="Q2" s="38">
        <v>9.5</v>
      </c>
      <c r="R2" s="38">
        <v>18.579999999999998</v>
      </c>
      <c r="S2" s="38">
        <v>5.62</v>
      </c>
      <c r="T2" s="135"/>
      <c r="U2" s="38">
        <v>2.4300000000000002</v>
      </c>
      <c r="V2" s="38">
        <v>5.32</v>
      </c>
      <c r="W2" s="38">
        <v>40.67</v>
      </c>
      <c r="X2" s="38">
        <v>6.62</v>
      </c>
      <c r="Y2" s="38">
        <v>3.42</v>
      </c>
      <c r="Z2" s="38">
        <v>27.58</v>
      </c>
      <c r="AA2" s="135"/>
      <c r="AB2" s="38">
        <v>0</v>
      </c>
      <c r="AC2" s="38">
        <v>6.94</v>
      </c>
      <c r="AD2" s="38">
        <v>11.6</v>
      </c>
      <c r="AE2" s="38">
        <v>12.2</v>
      </c>
      <c r="AF2" s="38">
        <v>6.38</v>
      </c>
      <c r="AG2" s="38">
        <v>8.75</v>
      </c>
      <c r="AH2" s="38">
        <v>30.6</v>
      </c>
      <c r="AI2" s="38">
        <v>0</v>
      </c>
      <c r="AJ2" s="38">
        <v>3.44</v>
      </c>
      <c r="AK2" s="38">
        <v>3.74</v>
      </c>
      <c r="AL2" s="38">
        <v>27.24</v>
      </c>
      <c r="AM2" s="38">
        <v>22.86</v>
      </c>
      <c r="AN2" s="38">
        <v>17.600000000000001</v>
      </c>
      <c r="AO2" s="38">
        <v>12.75</v>
      </c>
      <c r="AP2" s="38">
        <v>1.0900000000000001</v>
      </c>
      <c r="AQ2" s="38">
        <v>14.95</v>
      </c>
      <c r="AR2" s="38">
        <v>4.55</v>
      </c>
    </row>
    <row r="3" spans="1:44" ht="16">
      <c r="A3" s="37">
        <v>1996</v>
      </c>
      <c r="B3" s="38">
        <v>25.42</v>
      </c>
      <c r="C3" s="38">
        <v>34.15</v>
      </c>
      <c r="D3" s="38">
        <v>18.48</v>
      </c>
      <c r="E3" s="38">
        <v>10.35</v>
      </c>
      <c r="F3" s="38">
        <v>15.74</v>
      </c>
      <c r="G3" s="38">
        <v>14.9</v>
      </c>
      <c r="H3" s="38">
        <v>17.13</v>
      </c>
      <c r="I3" s="38">
        <v>30.92</v>
      </c>
      <c r="J3" s="38">
        <v>37.869999999999997</v>
      </c>
      <c r="K3" s="135"/>
      <c r="L3" s="135"/>
      <c r="M3" s="38">
        <v>3.12</v>
      </c>
      <c r="N3" s="38">
        <v>32.4</v>
      </c>
      <c r="O3" s="38">
        <v>12.07</v>
      </c>
      <c r="P3" s="38">
        <v>4.63</v>
      </c>
      <c r="Q3" s="38">
        <v>8.2200000000000006</v>
      </c>
      <c r="R3" s="38">
        <v>17.89</v>
      </c>
      <c r="S3" s="38">
        <v>4.55</v>
      </c>
      <c r="T3" s="135"/>
      <c r="U3" s="38">
        <v>1.89</v>
      </c>
      <c r="V3" s="38">
        <v>12.47</v>
      </c>
      <c r="W3" s="38">
        <v>43.55</v>
      </c>
      <c r="X3" s="38">
        <v>5.8</v>
      </c>
      <c r="Y3" s="38">
        <v>3.9</v>
      </c>
      <c r="Z3" s="38">
        <v>26.78</v>
      </c>
      <c r="AA3" s="135"/>
      <c r="AB3" s="38">
        <v>2.21</v>
      </c>
      <c r="AC3" s="38">
        <v>8.26</v>
      </c>
      <c r="AD3" s="38">
        <v>10.38</v>
      </c>
      <c r="AE3" s="38">
        <v>11.81</v>
      </c>
      <c r="AF3" s="38">
        <v>4.74</v>
      </c>
      <c r="AG3" s="38">
        <v>9.3800000000000008</v>
      </c>
      <c r="AH3" s="38">
        <v>29.64</v>
      </c>
      <c r="AI3" s="38">
        <v>12.5</v>
      </c>
      <c r="AJ3" s="38">
        <v>3.16</v>
      </c>
      <c r="AK3" s="38">
        <v>4.57</v>
      </c>
      <c r="AL3" s="38">
        <v>22.48</v>
      </c>
      <c r="AM3" s="38">
        <v>8.33</v>
      </c>
      <c r="AN3" s="38">
        <v>17.57</v>
      </c>
      <c r="AO3" s="38">
        <v>12.07</v>
      </c>
      <c r="AP3" s="38">
        <v>1.41</v>
      </c>
      <c r="AQ3" s="38">
        <v>14.73</v>
      </c>
      <c r="AR3" s="38">
        <v>3.12</v>
      </c>
    </row>
    <row r="4" spans="1:44" ht="16">
      <c r="A4" s="37">
        <v>1997</v>
      </c>
      <c r="B4" s="38">
        <v>26.25</v>
      </c>
      <c r="C4" s="38">
        <v>36.61</v>
      </c>
      <c r="D4" s="38">
        <v>19.38</v>
      </c>
      <c r="E4" s="38">
        <v>12.06</v>
      </c>
      <c r="F4" s="38">
        <v>13.98</v>
      </c>
      <c r="G4" s="38">
        <v>14.76</v>
      </c>
      <c r="H4" s="38">
        <v>18.72</v>
      </c>
      <c r="I4" s="38">
        <v>33.42</v>
      </c>
      <c r="J4" s="38">
        <v>38.93</v>
      </c>
      <c r="K4" s="135"/>
      <c r="L4" s="38">
        <v>0</v>
      </c>
      <c r="M4" s="38">
        <v>2.86</v>
      </c>
      <c r="N4" s="38">
        <v>33.369999999999997</v>
      </c>
      <c r="O4" s="38">
        <v>13.08</v>
      </c>
      <c r="P4" s="38">
        <v>4.88</v>
      </c>
      <c r="Q4" s="38">
        <v>8.44</v>
      </c>
      <c r="R4" s="38">
        <v>19.14</v>
      </c>
      <c r="S4" s="38">
        <v>4.6500000000000004</v>
      </c>
      <c r="T4" s="135"/>
      <c r="U4" s="38">
        <v>3.41</v>
      </c>
      <c r="V4" s="38">
        <v>22.69</v>
      </c>
      <c r="W4" s="38">
        <v>44.66</v>
      </c>
      <c r="X4" s="38">
        <v>5.35</v>
      </c>
      <c r="Y4" s="38">
        <v>3.15</v>
      </c>
      <c r="Z4" s="38">
        <v>26.41</v>
      </c>
      <c r="AA4" s="135"/>
      <c r="AB4" s="38">
        <v>2.21</v>
      </c>
      <c r="AC4" s="38">
        <v>7.06</v>
      </c>
      <c r="AD4" s="38">
        <v>10.210000000000001</v>
      </c>
      <c r="AE4" s="38">
        <v>11.77</v>
      </c>
      <c r="AF4" s="38">
        <v>5.75</v>
      </c>
      <c r="AG4" s="38">
        <v>8.1999999999999993</v>
      </c>
      <c r="AH4" s="38">
        <v>29.5</v>
      </c>
      <c r="AI4" s="38">
        <v>0</v>
      </c>
      <c r="AJ4" s="38">
        <v>2.89</v>
      </c>
      <c r="AK4" s="38">
        <v>4.7699999999999996</v>
      </c>
      <c r="AL4" s="38">
        <v>26.15</v>
      </c>
      <c r="AM4" s="38">
        <v>11.76</v>
      </c>
      <c r="AN4" s="38">
        <v>18.11</v>
      </c>
      <c r="AO4" s="38">
        <v>11.41</v>
      </c>
      <c r="AP4" s="38">
        <v>1.41</v>
      </c>
      <c r="AQ4" s="38">
        <v>16.399999999999999</v>
      </c>
      <c r="AR4" s="38">
        <v>9.09</v>
      </c>
    </row>
    <row r="5" spans="1:44" ht="16">
      <c r="A5" s="37">
        <v>1998</v>
      </c>
      <c r="B5" s="38">
        <v>24.8</v>
      </c>
      <c r="C5" s="38">
        <v>31.27</v>
      </c>
      <c r="D5" s="38">
        <v>20.149999999999999</v>
      </c>
      <c r="E5" s="38">
        <v>13.54</v>
      </c>
      <c r="F5" s="38">
        <v>14.17</v>
      </c>
      <c r="G5" s="38">
        <v>15.94</v>
      </c>
      <c r="H5" s="38">
        <v>17.82</v>
      </c>
      <c r="I5" s="38">
        <v>24.82</v>
      </c>
      <c r="J5" s="38">
        <v>42.05</v>
      </c>
      <c r="K5" s="38">
        <v>31.25</v>
      </c>
      <c r="L5" s="135"/>
      <c r="M5" s="38">
        <v>2.87</v>
      </c>
      <c r="N5" s="38">
        <v>34.880000000000003</v>
      </c>
      <c r="O5" s="38">
        <v>11.26</v>
      </c>
      <c r="P5" s="38">
        <v>5.09</v>
      </c>
      <c r="Q5" s="38">
        <v>8</v>
      </c>
      <c r="R5" s="38">
        <v>19.27</v>
      </c>
      <c r="S5" s="38">
        <v>4.01</v>
      </c>
      <c r="T5" s="135"/>
      <c r="U5" s="38">
        <v>1.92</v>
      </c>
      <c r="V5" s="38">
        <v>13.71</v>
      </c>
      <c r="W5" s="38">
        <v>46.96</v>
      </c>
      <c r="X5" s="38">
        <v>6.78</v>
      </c>
      <c r="Y5" s="38">
        <v>3.36</v>
      </c>
      <c r="Z5" s="38">
        <v>27.81</v>
      </c>
      <c r="AA5" s="135"/>
      <c r="AB5" s="135"/>
      <c r="AC5" s="38">
        <v>8</v>
      </c>
      <c r="AD5" s="38">
        <v>9.8699999999999992</v>
      </c>
      <c r="AE5" s="38">
        <v>12.11</v>
      </c>
      <c r="AF5" s="38">
        <v>5.68</v>
      </c>
      <c r="AG5" s="38">
        <v>9.35</v>
      </c>
      <c r="AH5" s="38">
        <v>27.79</v>
      </c>
      <c r="AI5" s="38">
        <v>26.67</v>
      </c>
      <c r="AJ5" s="38">
        <v>3.31</v>
      </c>
      <c r="AK5" s="38">
        <v>4.6399999999999997</v>
      </c>
      <c r="AL5" s="38">
        <v>13.35</v>
      </c>
      <c r="AM5" s="38">
        <v>13.79</v>
      </c>
      <c r="AN5" s="38">
        <v>18.559999999999999</v>
      </c>
      <c r="AO5" s="38">
        <v>11.45</v>
      </c>
      <c r="AP5" s="38">
        <v>1.49</v>
      </c>
      <c r="AQ5" s="38">
        <v>18.05</v>
      </c>
      <c r="AR5" s="38">
        <v>11.54</v>
      </c>
    </row>
    <row r="6" spans="1:44" ht="16">
      <c r="A6" s="37">
        <v>1999</v>
      </c>
      <c r="B6" s="38">
        <v>20.71</v>
      </c>
      <c r="C6" s="38">
        <v>33.85</v>
      </c>
      <c r="D6" s="38">
        <v>20.93</v>
      </c>
      <c r="E6" s="38">
        <v>14.04</v>
      </c>
      <c r="F6" s="38">
        <v>12.97</v>
      </c>
      <c r="G6" s="38">
        <v>14.8</v>
      </c>
      <c r="H6" s="38">
        <v>18.149999999999999</v>
      </c>
      <c r="I6" s="38">
        <v>13.85</v>
      </c>
      <c r="J6" s="38">
        <v>43.41</v>
      </c>
      <c r="K6" s="38">
        <v>28.57</v>
      </c>
      <c r="L6" s="135"/>
      <c r="M6" s="38">
        <v>2.44</v>
      </c>
      <c r="N6" s="38">
        <v>35.9</v>
      </c>
      <c r="O6" s="38">
        <v>16.350000000000001</v>
      </c>
      <c r="P6" s="38">
        <v>5.45</v>
      </c>
      <c r="Q6" s="38">
        <v>7.19</v>
      </c>
      <c r="R6" s="38">
        <v>21.79</v>
      </c>
      <c r="S6" s="38">
        <v>4.0199999999999996</v>
      </c>
      <c r="T6" s="135"/>
      <c r="U6" s="38">
        <v>2.02</v>
      </c>
      <c r="V6" s="38">
        <v>5.27</v>
      </c>
      <c r="W6" s="38">
        <v>45.27</v>
      </c>
      <c r="X6" s="38">
        <v>6.14</v>
      </c>
      <c r="Y6" s="38">
        <v>2.8</v>
      </c>
      <c r="Z6" s="38">
        <v>29.46</v>
      </c>
      <c r="AA6" s="135"/>
      <c r="AB6" s="135"/>
      <c r="AC6" s="38">
        <v>8.7899999999999991</v>
      </c>
      <c r="AD6" s="38">
        <v>8.27</v>
      </c>
      <c r="AE6" s="38">
        <v>11.77</v>
      </c>
      <c r="AF6" s="38">
        <v>5.91</v>
      </c>
      <c r="AG6" s="38">
        <v>9.19</v>
      </c>
      <c r="AH6" s="38">
        <v>26.64</v>
      </c>
      <c r="AI6" s="38">
        <v>0</v>
      </c>
      <c r="AJ6" s="38">
        <v>3.24</v>
      </c>
      <c r="AK6" s="38">
        <v>4.8600000000000003</v>
      </c>
      <c r="AL6" s="38">
        <v>23.98</v>
      </c>
      <c r="AM6" s="38">
        <v>8.6999999999999993</v>
      </c>
      <c r="AN6" s="38">
        <v>20.11</v>
      </c>
      <c r="AO6" s="38">
        <v>13.18</v>
      </c>
      <c r="AP6" s="38">
        <v>2.38</v>
      </c>
      <c r="AQ6" s="38">
        <v>17.55</v>
      </c>
      <c r="AR6" s="38">
        <v>9.09</v>
      </c>
    </row>
    <row r="7" spans="1:44" ht="16">
      <c r="A7" s="37">
        <v>2000</v>
      </c>
      <c r="B7" s="38">
        <v>19.87</v>
      </c>
      <c r="C7" s="38">
        <v>30.76</v>
      </c>
      <c r="D7" s="38">
        <v>22.86</v>
      </c>
      <c r="E7" s="38">
        <v>15.04</v>
      </c>
      <c r="F7" s="38">
        <v>11.84</v>
      </c>
      <c r="G7" s="38">
        <v>15.08</v>
      </c>
      <c r="H7" s="38">
        <v>19.899999999999999</v>
      </c>
      <c r="I7" s="38">
        <v>16.28</v>
      </c>
      <c r="J7" s="38">
        <v>45.8</v>
      </c>
      <c r="K7" s="38">
        <v>50</v>
      </c>
      <c r="L7" s="38">
        <v>0</v>
      </c>
      <c r="M7" s="38">
        <v>2.4500000000000002</v>
      </c>
      <c r="N7" s="38">
        <v>38.32</v>
      </c>
      <c r="O7" s="38">
        <v>14.54</v>
      </c>
      <c r="P7" s="38">
        <v>5.6</v>
      </c>
      <c r="Q7" s="38">
        <v>7.85</v>
      </c>
      <c r="R7" s="38">
        <v>22.32</v>
      </c>
      <c r="S7" s="38">
        <v>4.37</v>
      </c>
      <c r="T7" s="135"/>
      <c r="U7" s="38">
        <v>2.39</v>
      </c>
      <c r="V7" s="38">
        <v>7.94</v>
      </c>
      <c r="W7" s="38">
        <v>47.93</v>
      </c>
      <c r="X7" s="38">
        <v>4.9800000000000004</v>
      </c>
      <c r="Y7" s="38">
        <v>3.14</v>
      </c>
      <c r="Z7" s="38">
        <v>33.520000000000003</v>
      </c>
      <c r="AA7" s="135"/>
      <c r="AB7" s="38">
        <v>0</v>
      </c>
      <c r="AC7" s="38">
        <v>8.2899999999999991</v>
      </c>
      <c r="AD7" s="38">
        <v>8.89</v>
      </c>
      <c r="AE7" s="38">
        <v>12.17</v>
      </c>
      <c r="AF7" s="38">
        <v>4.74</v>
      </c>
      <c r="AG7" s="38">
        <v>9.42</v>
      </c>
      <c r="AH7" s="38">
        <v>27.47</v>
      </c>
      <c r="AI7" s="38">
        <v>20</v>
      </c>
      <c r="AJ7" s="38">
        <v>3.42</v>
      </c>
      <c r="AK7" s="38">
        <v>4.46</v>
      </c>
      <c r="AL7" s="38">
        <v>29.56</v>
      </c>
      <c r="AM7" s="38">
        <v>5.56</v>
      </c>
      <c r="AN7" s="38">
        <v>20.14</v>
      </c>
      <c r="AO7" s="38">
        <v>11.6</v>
      </c>
      <c r="AP7" s="38">
        <v>3.01</v>
      </c>
      <c r="AQ7" s="38">
        <v>17.87</v>
      </c>
      <c r="AR7" s="38">
        <v>1.92</v>
      </c>
    </row>
    <row r="8" spans="1:44" ht="16">
      <c r="A8" s="37">
        <v>2001</v>
      </c>
      <c r="B8" s="38">
        <v>16.16</v>
      </c>
      <c r="C8" s="38">
        <v>30.32</v>
      </c>
      <c r="D8" s="38">
        <v>24.1</v>
      </c>
      <c r="E8" s="38">
        <v>15.19</v>
      </c>
      <c r="F8" s="38">
        <v>13.5</v>
      </c>
      <c r="G8" s="38">
        <v>16.3</v>
      </c>
      <c r="H8" s="38">
        <v>18.68</v>
      </c>
      <c r="I8" s="38">
        <v>21.76</v>
      </c>
      <c r="J8" s="38">
        <v>47.4</v>
      </c>
      <c r="K8" s="38">
        <v>42.86</v>
      </c>
      <c r="L8" s="38">
        <v>50</v>
      </c>
      <c r="M8" s="38">
        <v>2.57</v>
      </c>
      <c r="N8" s="38">
        <v>41.47</v>
      </c>
      <c r="O8" s="38">
        <v>15.98</v>
      </c>
      <c r="P8" s="38">
        <v>6.26</v>
      </c>
      <c r="Q8" s="38">
        <v>8.06</v>
      </c>
      <c r="R8" s="38">
        <v>25.1</v>
      </c>
      <c r="S8" s="38">
        <v>4.7</v>
      </c>
      <c r="T8" s="135"/>
      <c r="U8" s="38">
        <v>2.2400000000000002</v>
      </c>
      <c r="V8" s="38">
        <v>9.09</v>
      </c>
      <c r="W8" s="38">
        <v>48.25</v>
      </c>
      <c r="X8" s="38">
        <v>5.79</v>
      </c>
      <c r="Y8" s="38">
        <v>2.92</v>
      </c>
      <c r="Z8" s="38">
        <v>37.19</v>
      </c>
      <c r="AA8" s="135"/>
      <c r="AB8" s="135"/>
      <c r="AC8" s="38">
        <v>10.17</v>
      </c>
      <c r="AD8" s="38">
        <v>9.99</v>
      </c>
      <c r="AE8" s="38">
        <v>13.03</v>
      </c>
      <c r="AF8" s="38">
        <v>5.74</v>
      </c>
      <c r="AG8" s="38">
        <v>8.5399999999999991</v>
      </c>
      <c r="AH8" s="38">
        <v>27.68</v>
      </c>
      <c r="AI8" s="38">
        <v>0</v>
      </c>
      <c r="AJ8" s="38">
        <v>3.1</v>
      </c>
      <c r="AK8" s="38">
        <v>4.72</v>
      </c>
      <c r="AL8" s="38">
        <v>23.16</v>
      </c>
      <c r="AM8" s="38">
        <v>0</v>
      </c>
      <c r="AN8" s="38">
        <v>20.84</v>
      </c>
      <c r="AO8" s="38">
        <v>11.56</v>
      </c>
      <c r="AP8" s="38">
        <v>3.31</v>
      </c>
      <c r="AQ8" s="38">
        <v>18.88</v>
      </c>
      <c r="AR8" s="38">
        <v>0</v>
      </c>
    </row>
    <row r="9" spans="1:44" ht="16">
      <c r="A9" s="37">
        <v>2002</v>
      </c>
      <c r="B9" s="38">
        <v>15.51</v>
      </c>
      <c r="C9" s="38">
        <v>31.72</v>
      </c>
      <c r="D9" s="38">
        <v>24.06</v>
      </c>
      <c r="E9" s="38">
        <v>14.9</v>
      </c>
      <c r="F9" s="38">
        <v>12.71</v>
      </c>
      <c r="G9" s="38">
        <v>16.399999999999999</v>
      </c>
      <c r="H9" s="38">
        <v>18.239999999999998</v>
      </c>
      <c r="I9" s="38">
        <v>30.24</v>
      </c>
      <c r="J9" s="38">
        <v>47.07</v>
      </c>
      <c r="K9" s="38">
        <v>44.44</v>
      </c>
      <c r="L9" s="38">
        <v>0</v>
      </c>
      <c r="M9" s="38">
        <v>2.85</v>
      </c>
      <c r="N9" s="38">
        <v>41.08</v>
      </c>
      <c r="O9" s="38">
        <v>19.75</v>
      </c>
      <c r="P9" s="38">
        <v>6.68</v>
      </c>
      <c r="Q9" s="38">
        <v>6.85</v>
      </c>
      <c r="R9" s="38">
        <v>25.4</v>
      </c>
      <c r="S9" s="38">
        <v>4.8</v>
      </c>
      <c r="T9" s="135"/>
      <c r="U9" s="38">
        <v>3.04</v>
      </c>
      <c r="V9" s="38">
        <v>41.67</v>
      </c>
      <c r="W9" s="38">
        <v>53.83</v>
      </c>
      <c r="X9" s="38">
        <v>6.28</v>
      </c>
      <c r="Y9" s="38">
        <v>3.48</v>
      </c>
      <c r="Z9" s="38">
        <v>37.24</v>
      </c>
      <c r="AA9" s="135"/>
      <c r="AB9" s="135"/>
      <c r="AC9" s="38">
        <v>12.3</v>
      </c>
      <c r="AD9" s="38">
        <v>9.41</v>
      </c>
      <c r="AE9" s="38">
        <v>13.1</v>
      </c>
      <c r="AF9" s="38">
        <v>6.4</v>
      </c>
      <c r="AG9" s="38">
        <v>7.79</v>
      </c>
      <c r="AH9" s="38">
        <v>27.57</v>
      </c>
      <c r="AI9" s="38">
        <v>0</v>
      </c>
      <c r="AJ9" s="38">
        <v>3.29</v>
      </c>
      <c r="AK9" s="38">
        <v>5.15</v>
      </c>
      <c r="AL9" s="38">
        <v>28.01</v>
      </c>
      <c r="AM9" s="38">
        <v>12</v>
      </c>
      <c r="AN9" s="38">
        <v>22.01</v>
      </c>
      <c r="AO9" s="38">
        <v>11.03</v>
      </c>
      <c r="AP9" s="38">
        <v>3.95</v>
      </c>
      <c r="AQ9" s="38">
        <v>18.190000000000001</v>
      </c>
      <c r="AR9" s="38">
        <v>0</v>
      </c>
    </row>
    <row r="10" spans="1:44" ht="16">
      <c r="A10" s="37">
        <v>2003</v>
      </c>
      <c r="B10" s="135"/>
      <c r="C10" s="38">
        <v>20.8</v>
      </c>
      <c r="D10" s="38">
        <v>22.89</v>
      </c>
      <c r="E10" s="38">
        <v>16.420000000000002</v>
      </c>
      <c r="F10" s="38">
        <v>14.27</v>
      </c>
      <c r="G10" s="38">
        <v>17.38</v>
      </c>
      <c r="H10" s="38">
        <v>18.91</v>
      </c>
      <c r="I10" s="38">
        <v>29.64</v>
      </c>
      <c r="J10" s="38">
        <v>46.69</v>
      </c>
      <c r="K10" s="135"/>
      <c r="L10" s="38">
        <v>11.11</v>
      </c>
      <c r="M10" s="38">
        <v>2.64</v>
      </c>
      <c r="N10" s="38">
        <v>46.28</v>
      </c>
      <c r="O10" s="38">
        <v>22.72</v>
      </c>
      <c r="P10" s="38">
        <v>5.83</v>
      </c>
      <c r="Q10" s="38">
        <v>9.1999999999999993</v>
      </c>
      <c r="R10" s="38">
        <v>24.97</v>
      </c>
      <c r="S10" s="38">
        <v>4.51</v>
      </c>
      <c r="T10" s="38">
        <v>5.19</v>
      </c>
      <c r="U10" s="38">
        <v>3.61</v>
      </c>
      <c r="V10" s="135"/>
      <c r="W10" s="38">
        <v>53.98</v>
      </c>
      <c r="X10" s="38">
        <v>4.91</v>
      </c>
      <c r="Y10" s="38">
        <v>3.35</v>
      </c>
      <c r="Z10" s="38">
        <v>39.82</v>
      </c>
      <c r="AA10" s="135"/>
      <c r="AB10" s="38">
        <v>34.15</v>
      </c>
      <c r="AC10" s="38">
        <v>13.55</v>
      </c>
      <c r="AD10" s="38">
        <v>10.88</v>
      </c>
      <c r="AE10" s="38">
        <v>13.87</v>
      </c>
      <c r="AF10" s="38">
        <v>6.64</v>
      </c>
      <c r="AG10" s="38">
        <v>8.11</v>
      </c>
      <c r="AH10" s="38">
        <v>26.86</v>
      </c>
      <c r="AI10" s="38">
        <v>0</v>
      </c>
      <c r="AJ10" s="38">
        <v>4.4000000000000004</v>
      </c>
      <c r="AK10" s="38">
        <v>5.15</v>
      </c>
      <c r="AL10" s="135"/>
      <c r="AM10" s="38">
        <v>22.22</v>
      </c>
      <c r="AN10" s="38">
        <v>25.93</v>
      </c>
      <c r="AO10" s="38">
        <v>11.76</v>
      </c>
      <c r="AP10" s="38">
        <v>2.35</v>
      </c>
      <c r="AQ10" s="38">
        <v>18.97</v>
      </c>
      <c r="AR10" s="135"/>
    </row>
    <row r="11" spans="1:44" ht="16">
      <c r="A11" s="37">
        <v>2004</v>
      </c>
      <c r="B11" s="135"/>
      <c r="C11" s="38">
        <v>25.17</v>
      </c>
      <c r="D11" s="38">
        <v>22.82</v>
      </c>
      <c r="E11" s="38">
        <v>15.62</v>
      </c>
      <c r="F11" s="38">
        <v>14.61</v>
      </c>
      <c r="G11" s="38">
        <v>15.69</v>
      </c>
      <c r="H11" s="38">
        <v>15.89</v>
      </c>
      <c r="I11" s="38">
        <v>22.47</v>
      </c>
      <c r="J11" s="38">
        <v>43.69</v>
      </c>
      <c r="K11" s="135"/>
      <c r="L11" s="38">
        <v>33.33</v>
      </c>
      <c r="M11" s="38">
        <v>2.4</v>
      </c>
      <c r="N11" s="38">
        <v>47.14</v>
      </c>
      <c r="O11" s="38">
        <v>24.44</v>
      </c>
      <c r="P11" s="38">
        <v>5.55</v>
      </c>
      <c r="Q11" s="38">
        <v>9.17</v>
      </c>
      <c r="R11" s="38">
        <v>24.23</v>
      </c>
      <c r="S11" s="38">
        <v>5.39</v>
      </c>
      <c r="T11" s="38">
        <v>4.08</v>
      </c>
      <c r="U11" s="38">
        <v>2.74</v>
      </c>
      <c r="V11" s="135"/>
      <c r="W11" s="38">
        <v>51.15</v>
      </c>
      <c r="X11" s="38">
        <v>4.58</v>
      </c>
      <c r="Y11" s="38">
        <v>3.32</v>
      </c>
      <c r="Z11" s="38">
        <v>40.869999999999997</v>
      </c>
      <c r="AA11" s="135"/>
      <c r="AB11" s="38">
        <v>25.77</v>
      </c>
      <c r="AC11" s="38">
        <v>13.35</v>
      </c>
      <c r="AD11" s="38">
        <v>10.71</v>
      </c>
      <c r="AE11" s="38">
        <v>13.3</v>
      </c>
      <c r="AF11" s="38">
        <v>6.25</v>
      </c>
      <c r="AG11" s="38">
        <v>8.51</v>
      </c>
      <c r="AH11" s="38">
        <v>29.01</v>
      </c>
      <c r="AI11" s="38">
        <v>15.38</v>
      </c>
      <c r="AJ11" s="38">
        <v>3.81</v>
      </c>
      <c r="AK11" s="38">
        <v>5.44</v>
      </c>
      <c r="AL11" s="135"/>
      <c r="AM11" s="38">
        <v>9.68</v>
      </c>
      <c r="AN11" s="38">
        <v>24.11</v>
      </c>
      <c r="AO11" s="38">
        <v>10.67</v>
      </c>
      <c r="AP11" s="38">
        <v>5.08</v>
      </c>
      <c r="AQ11" s="38">
        <v>17.420000000000002</v>
      </c>
      <c r="AR11" s="135"/>
    </row>
    <row r="12" spans="1:44" ht="16">
      <c r="A12" s="37">
        <v>2005</v>
      </c>
      <c r="B12" s="135"/>
      <c r="C12" s="38">
        <v>24.18</v>
      </c>
      <c r="D12" s="38">
        <v>18.96</v>
      </c>
      <c r="E12" s="38">
        <v>13.86</v>
      </c>
      <c r="F12" s="38">
        <v>14.88</v>
      </c>
      <c r="G12" s="38">
        <v>15.32</v>
      </c>
      <c r="H12" s="38">
        <v>15.36</v>
      </c>
      <c r="I12" s="38">
        <v>26.1</v>
      </c>
      <c r="J12" s="38">
        <v>40.68</v>
      </c>
      <c r="K12" s="135"/>
      <c r="L12" s="135"/>
      <c r="M12" s="38">
        <v>2.94</v>
      </c>
      <c r="N12" s="38">
        <v>44.56</v>
      </c>
      <c r="O12" s="38">
        <v>23.88</v>
      </c>
      <c r="P12" s="38">
        <v>4.7699999999999996</v>
      </c>
      <c r="Q12" s="38">
        <v>9.59</v>
      </c>
      <c r="R12" s="38">
        <v>23.47</v>
      </c>
      <c r="S12" s="38">
        <v>5.31</v>
      </c>
      <c r="T12" s="38">
        <v>4.43</v>
      </c>
      <c r="U12" s="38">
        <v>2.09</v>
      </c>
      <c r="V12" s="135"/>
      <c r="W12" s="38">
        <v>51.68</v>
      </c>
      <c r="X12" s="38">
        <v>3.36</v>
      </c>
      <c r="Y12" s="38">
        <v>2.74</v>
      </c>
      <c r="Z12" s="38">
        <v>38.159999999999997</v>
      </c>
      <c r="AA12" s="135"/>
      <c r="AB12" s="38">
        <v>26.09</v>
      </c>
      <c r="AC12" s="38">
        <v>13.34</v>
      </c>
      <c r="AD12" s="38">
        <v>9.86</v>
      </c>
      <c r="AE12" s="38">
        <v>12.72</v>
      </c>
      <c r="AF12" s="38">
        <v>5.74</v>
      </c>
      <c r="AG12" s="38">
        <v>8.8000000000000007</v>
      </c>
      <c r="AH12" s="38">
        <v>28.13</v>
      </c>
      <c r="AI12" s="38">
        <v>16.670000000000002</v>
      </c>
      <c r="AJ12" s="38">
        <v>3.83</v>
      </c>
      <c r="AK12" s="38">
        <v>5.3</v>
      </c>
      <c r="AL12" s="135"/>
      <c r="AM12" s="38">
        <v>25</v>
      </c>
      <c r="AN12" s="38">
        <v>23.59</v>
      </c>
      <c r="AO12" s="38">
        <v>10.64</v>
      </c>
      <c r="AP12" s="38">
        <v>2.99</v>
      </c>
      <c r="AQ12" s="38">
        <v>15.97</v>
      </c>
      <c r="AR12" s="135"/>
    </row>
    <row r="13" spans="1:44" ht="16">
      <c r="A13" s="37">
        <v>2006</v>
      </c>
      <c r="B13" s="135"/>
      <c r="C13" s="38">
        <v>22</v>
      </c>
      <c r="D13" s="38">
        <v>17.170000000000002</v>
      </c>
      <c r="E13" s="38">
        <v>13.17</v>
      </c>
      <c r="F13" s="38">
        <v>14.85</v>
      </c>
      <c r="G13" s="38">
        <v>14.97</v>
      </c>
      <c r="H13" s="38">
        <v>13.68</v>
      </c>
      <c r="I13" s="38">
        <v>28.6</v>
      </c>
      <c r="J13" s="38">
        <v>38.6</v>
      </c>
      <c r="K13" s="135"/>
      <c r="L13" s="38">
        <v>0</v>
      </c>
      <c r="M13" s="38">
        <v>3.03</v>
      </c>
      <c r="N13" s="38">
        <v>41.65</v>
      </c>
      <c r="O13" s="38">
        <v>21.82</v>
      </c>
      <c r="P13" s="38">
        <v>4.54</v>
      </c>
      <c r="Q13" s="38">
        <v>8.31</v>
      </c>
      <c r="R13" s="38">
        <v>20.37</v>
      </c>
      <c r="S13" s="38">
        <v>5.84</v>
      </c>
      <c r="T13" s="38">
        <v>4.47</v>
      </c>
      <c r="U13" s="38">
        <v>2.75</v>
      </c>
      <c r="V13" s="135"/>
      <c r="W13" s="38">
        <v>50.17</v>
      </c>
      <c r="X13" s="38">
        <v>3.94</v>
      </c>
      <c r="Y13" s="38">
        <v>2.2999999999999998</v>
      </c>
      <c r="Z13" s="38">
        <v>36.29</v>
      </c>
      <c r="AA13" s="135"/>
      <c r="AB13" s="38">
        <v>14.02</v>
      </c>
      <c r="AC13" s="38">
        <v>11.29</v>
      </c>
      <c r="AD13" s="38">
        <v>9.99</v>
      </c>
      <c r="AE13" s="38">
        <v>11.96</v>
      </c>
      <c r="AF13" s="38">
        <v>5.27</v>
      </c>
      <c r="AG13" s="38">
        <v>8.52</v>
      </c>
      <c r="AH13" s="38">
        <v>27.8</v>
      </c>
      <c r="AI13" s="38">
        <v>22.22</v>
      </c>
      <c r="AJ13" s="38">
        <v>3.61</v>
      </c>
      <c r="AK13" s="38">
        <v>5.14</v>
      </c>
      <c r="AL13" s="135"/>
      <c r="AM13" s="38">
        <v>13.64</v>
      </c>
      <c r="AN13" s="38">
        <v>21</v>
      </c>
      <c r="AO13" s="38">
        <v>9.31</v>
      </c>
      <c r="AP13" s="38">
        <v>3.7</v>
      </c>
      <c r="AQ13" s="38">
        <v>15.05</v>
      </c>
      <c r="AR13" s="135"/>
    </row>
    <row r="14" spans="1:44" ht="16">
      <c r="A14" s="37">
        <v>2007</v>
      </c>
      <c r="B14" s="135"/>
      <c r="C14" s="38">
        <v>21.58</v>
      </c>
      <c r="D14" s="38">
        <v>15.76</v>
      </c>
      <c r="E14" s="38">
        <v>12.3</v>
      </c>
      <c r="F14" s="38">
        <v>15.03</v>
      </c>
      <c r="G14" s="38">
        <v>14.2</v>
      </c>
      <c r="H14" s="38">
        <v>13.57</v>
      </c>
      <c r="I14" s="38">
        <v>34.270000000000003</v>
      </c>
      <c r="J14" s="38">
        <v>38.54</v>
      </c>
      <c r="K14" s="135"/>
      <c r="L14" s="38">
        <v>14.29</v>
      </c>
      <c r="M14" s="38">
        <v>2.77</v>
      </c>
      <c r="N14" s="38">
        <v>38.49</v>
      </c>
      <c r="O14" s="38">
        <v>23.05</v>
      </c>
      <c r="P14" s="38">
        <v>4.74</v>
      </c>
      <c r="Q14" s="38">
        <v>7.87</v>
      </c>
      <c r="R14" s="38">
        <v>20.93</v>
      </c>
      <c r="S14" s="38">
        <v>5.12</v>
      </c>
      <c r="T14" s="38">
        <v>3.46</v>
      </c>
      <c r="U14" s="38">
        <v>2.17</v>
      </c>
      <c r="V14" s="135"/>
      <c r="W14" s="38">
        <v>53.33</v>
      </c>
      <c r="X14" s="38">
        <v>3.96</v>
      </c>
      <c r="Y14" s="38">
        <v>1.95</v>
      </c>
      <c r="Z14" s="38">
        <v>35.26</v>
      </c>
      <c r="AA14" s="135"/>
      <c r="AB14" s="38">
        <v>0</v>
      </c>
      <c r="AC14" s="38">
        <v>10.73</v>
      </c>
      <c r="AD14" s="38">
        <v>8.76</v>
      </c>
      <c r="AE14" s="38">
        <v>11.19</v>
      </c>
      <c r="AF14" s="38">
        <v>5.55</v>
      </c>
      <c r="AG14" s="38">
        <v>7.41</v>
      </c>
      <c r="AH14" s="38">
        <v>27.52</v>
      </c>
      <c r="AI14" s="38">
        <v>20</v>
      </c>
      <c r="AJ14" s="38">
        <v>3.5</v>
      </c>
      <c r="AK14" s="38">
        <v>4.7300000000000004</v>
      </c>
      <c r="AL14" s="135"/>
      <c r="AM14" s="38">
        <v>17.86</v>
      </c>
      <c r="AN14" s="38">
        <v>21.24</v>
      </c>
      <c r="AO14" s="38">
        <v>8.43</v>
      </c>
      <c r="AP14" s="38">
        <v>4.47</v>
      </c>
      <c r="AQ14" s="38">
        <v>14.8</v>
      </c>
      <c r="AR14" s="135"/>
    </row>
    <row r="15" spans="1:44" ht="16">
      <c r="A15" s="37">
        <v>2008</v>
      </c>
      <c r="B15" s="135"/>
      <c r="C15" s="38">
        <v>22.45</v>
      </c>
      <c r="D15" s="38">
        <v>15.59</v>
      </c>
      <c r="E15" s="38">
        <v>14.36</v>
      </c>
      <c r="F15" s="38">
        <v>15.6</v>
      </c>
      <c r="G15" s="38">
        <v>13.83</v>
      </c>
      <c r="H15" s="38">
        <v>13.93</v>
      </c>
      <c r="I15" s="38">
        <v>33.44</v>
      </c>
      <c r="J15" s="38">
        <v>42.94</v>
      </c>
      <c r="K15" s="135"/>
      <c r="L15" s="38">
        <v>16.670000000000002</v>
      </c>
      <c r="M15" s="38">
        <v>2.95</v>
      </c>
      <c r="N15" s="38">
        <v>40.81</v>
      </c>
      <c r="O15" s="38">
        <v>28.05</v>
      </c>
      <c r="P15" s="38">
        <v>4.29</v>
      </c>
      <c r="Q15" s="38">
        <v>8.58</v>
      </c>
      <c r="R15" s="38">
        <v>19.25</v>
      </c>
      <c r="S15" s="38">
        <v>4.78</v>
      </c>
      <c r="T15" s="38">
        <v>3.63</v>
      </c>
      <c r="U15" s="38">
        <v>1.86</v>
      </c>
      <c r="V15" s="38">
        <v>1.19</v>
      </c>
      <c r="W15" s="38">
        <v>53.07</v>
      </c>
      <c r="X15" s="38">
        <v>5.74</v>
      </c>
      <c r="Y15" s="38">
        <v>1.51</v>
      </c>
      <c r="Z15" s="38">
        <v>35.99</v>
      </c>
      <c r="AA15" s="135"/>
      <c r="AB15" s="38">
        <v>14.81</v>
      </c>
      <c r="AC15" s="38">
        <v>10.68</v>
      </c>
      <c r="AD15" s="38">
        <v>10.46</v>
      </c>
      <c r="AE15" s="38">
        <v>11.54</v>
      </c>
      <c r="AF15" s="38">
        <v>6.41</v>
      </c>
      <c r="AG15" s="38">
        <v>8.1199999999999992</v>
      </c>
      <c r="AH15" s="38">
        <v>27.37</v>
      </c>
      <c r="AI15" s="38">
        <v>33.33</v>
      </c>
      <c r="AJ15" s="38">
        <v>3.27</v>
      </c>
      <c r="AK15" s="38">
        <v>4.87</v>
      </c>
      <c r="AL15" s="135"/>
      <c r="AM15" s="38">
        <v>23.08</v>
      </c>
      <c r="AN15" s="38">
        <v>20.61</v>
      </c>
      <c r="AO15" s="38">
        <v>8.48</v>
      </c>
      <c r="AP15" s="38">
        <v>2.02</v>
      </c>
      <c r="AQ15" s="38">
        <v>14.41</v>
      </c>
      <c r="AR15" s="135"/>
    </row>
    <row r="16" spans="1:44" ht="16">
      <c r="A16" s="37">
        <v>2009</v>
      </c>
      <c r="B16" s="135"/>
      <c r="C16" s="38">
        <v>21.11</v>
      </c>
      <c r="D16" s="38">
        <v>15.23</v>
      </c>
      <c r="E16" s="38">
        <v>14.21</v>
      </c>
      <c r="F16" s="38">
        <v>17.61</v>
      </c>
      <c r="G16" s="38">
        <v>14.08</v>
      </c>
      <c r="H16" s="38">
        <v>15.33</v>
      </c>
      <c r="I16" s="38">
        <v>30.11</v>
      </c>
      <c r="J16" s="38">
        <v>46.31</v>
      </c>
      <c r="K16" s="135"/>
      <c r="L16" s="38">
        <v>12.5</v>
      </c>
      <c r="M16" s="38">
        <v>2.8</v>
      </c>
      <c r="N16" s="38">
        <v>43.36</v>
      </c>
      <c r="O16" s="38">
        <v>35.26</v>
      </c>
      <c r="P16" s="38">
        <v>3.78</v>
      </c>
      <c r="Q16" s="38">
        <v>7.29</v>
      </c>
      <c r="R16" s="38">
        <v>20.18</v>
      </c>
      <c r="S16" s="38">
        <v>4.5199999999999996</v>
      </c>
      <c r="T16" s="38">
        <v>3.1</v>
      </c>
      <c r="U16" s="38">
        <v>2</v>
      </c>
      <c r="V16" s="135"/>
      <c r="W16" s="38">
        <v>53.36</v>
      </c>
      <c r="X16" s="38">
        <v>5.98</v>
      </c>
      <c r="Y16" s="38">
        <v>1.6</v>
      </c>
      <c r="Z16" s="38">
        <v>39.79</v>
      </c>
      <c r="AA16" s="135"/>
      <c r="AB16" s="38">
        <v>11.87</v>
      </c>
      <c r="AC16" s="38">
        <v>11.17</v>
      </c>
      <c r="AD16" s="38">
        <v>9.1199999999999992</v>
      </c>
      <c r="AE16" s="38">
        <v>12.03</v>
      </c>
      <c r="AF16" s="38">
        <v>6.28</v>
      </c>
      <c r="AG16" s="38">
        <v>7.6</v>
      </c>
      <c r="AH16" s="38">
        <v>27.47</v>
      </c>
      <c r="AI16" s="38">
        <v>10</v>
      </c>
      <c r="AJ16" s="38">
        <v>3</v>
      </c>
      <c r="AK16" s="38">
        <v>5.18</v>
      </c>
      <c r="AL16" s="135"/>
      <c r="AM16" s="38">
        <v>16.670000000000002</v>
      </c>
      <c r="AN16" s="38">
        <v>21.12</v>
      </c>
      <c r="AO16" s="38">
        <v>7.82</v>
      </c>
      <c r="AP16" s="38">
        <v>2.39</v>
      </c>
      <c r="AQ16" s="38">
        <v>15.32</v>
      </c>
      <c r="AR16" s="135"/>
    </row>
    <row r="17" spans="1:44" ht="16">
      <c r="A17" s="37">
        <v>2010</v>
      </c>
      <c r="B17" s="135"/>
      <c r="C17" s="38">
        <v>21.36</v>
      </c>
      <c r="D17" s="38">
        <v>15.41</v>
      </c>
      <c r="E17" s="38">
        <v>14.99</v>
      </c>
      <c r="F17" s="38">
        <v>17.239999999999998</v>
      </c>
      <c r="G17" s="38">
        <v>13.57</v>
      </c>
      <c r="H17" s="38">
        <v>14.78</v>
      </c>
      <c r="I17" s="38">
        <v>34.56</v>
      </c>
      <c r="J17" s="38">
        <v>44.03</v>
      </c>
      <c r="K17" s="135"/>
      <c r="L17" s="38">
        <v>22.22</v>
      </c>
      <c r="M17" s="38">
        <v>2.61</v>
      </c>
      <c r="N17" s="38">
        <v>43.37</v>
      </c>
      <c r="O17" s="38">
        <v>30.73</v>
      </c>
      <c r="P17" s="38">
        <v>4.01</v>
      </c>
      <c r="Q17" s="38">
        <v>7.29</v>
      </c>
      <c r="R17" s="38">
        <v>19.97</v>
      </c>
      <c r="S17" s="38">
        <v>4.68</v>
      </c>
      <c r="T17" s="38">
        <v>3.36</v>
      </c>
      <c r="U17" s="38">
        <v>1.84</v>
      </c>
      <c r="V17" s="135"/>
      <c r="W17" s="38">
        <v>52.24</v>
      </c>
      <c r="X17" s="38">
        <v>6.67</v>
      </c>
      <c r="Y17" s="38">
        <v>1.27</v>
      </c>
      <c r="Z17" s="38">
        <v>40.58</v>
      </c>
      <c r="AA17" s="135"/>
      <c r="AB17" s="38">
        <v>16.95</v>
      </c>
      <c r="AC17" s="38">
        <v>10.35</v>
      </c>
      <c r="AD17" s="38">
        <v>9.2200000000000006</v>
      </c>
      <c r="AE17" s="38">
        <v>11.71</v>
      </c>
      <c r="AF17" s="38">
        <v>6.6</v>
      </c>
      <c r="AG17" s="38">
        <v>8.34</v>
      </c>
      <c r="AH17" s="38">
        <v>27.66</v>
      </c>
      <c r="AI17" s="38">
        <v>10</v>
      </c>
      <c r="AJ17" s="38">
        <v>3.49</v>
      </c>
      <c r="AK17" s="38">
        <v>4.95</v>
      </c>
      <c r="AL17" s="135"/>
      <c r="AM17" s="38">
        <v>20.59</v>
      </c>
      <c r="AN17" s="38">
        <v>19.43</v>
      </c>
      <c r="AO17" s="38">
        <v>7.11</v>
      </c>
      <c r="AP17" s="38">
        <v>2.14</v>
      </c>
      <c r="AQ17" s="38">
        <v>15.78</v>
      </c>
      <c r="AR17" s="135"/>
    </row>
    <row r="18" spans="1:44" ht="16">
      <c r="A18" s="37">
        <v>2011</v>
      </c>
      <c r="B18" s="135"/>
      <c r="C18" s="38">
        <v>22.48</v>
      </c>
      <c r="D18" s="38">
        <v>15.82</v>
      </c>
      <c r="E18" s="38">
        <v>13.23</v>
      </c>
      <c r="F18" s="38">
        <v>17.59</v>
      </c>
      <c r="G18" s="38">
        <v>13.46</v>
      </c>
      <c r="H18" s="38">
        <v>14.45</v>
      </c>
      <c r="I18" s="38">
        <v>37.85</v>
      </c>
      <c r="J18" s="38">
        <v>44.52</v>
      </c>
      <c r="K18" s="135"/>
      <c r="L18" s="38">
        <v>0</v>
      </c>
      <c r="M18" s="38">
        <v>2.54</v>
      </c>
      <c r="N18" s="38">
        <v>43.23</v>
      </c>
      <c r="O18" s="38">
        <v>27.58</v>
      </c>
      <c r="P18" s="38">
        <v>3.74</v>
      </c>
      <c r="Q18" s="38">
        <v>6.24</v>
      </c>
      <c r="R18" s="38">
        <v>19.3</v>
      </c>
      <c r="S18" s="38">
        <v>4.7</v>
      </c>
      <c r="T18" s="38">
        <v>2.82</v>
      </c>
      <c r="U18" s="38">
        <v>1.62</v>
      </c>
      <c r="V18" s="135"/>
      <c r="W18" s="38">
        <v>49.03</v>
      </c>
      <c r="X18" s="38">
        <v>6.53</v>
      </c>
      <c r="Y18" s="38">
        <v>1.58</v>
      </c>
      <c r="Z18" s="38">
        <v>38.549999999999997</v>
      </c>
      <c r="AA18" s="135"/>
      <c r="AB18" s="38">
        <v>9.11</v>
      </c>
      <c r="AC18" s="38">
        <v>9.2200000000000006</v>
      </c>
      <c r="AD18" s="38">
        <v>8.44</v>
      </c>
      <c r="AE18" s="38">
        <v>11.73</v>
      </c>
      <c r="AF18" s="38">
        <v>6.51</v>
      </c>
      <c r="AG18" s="38">
        <v>7.58</v>
      </c>
      <c r="AH18" s="38">
        <v>27.64</v>
      </c>
      <c r="AI18" s="38">
        <v>20</v>
      </c>
      <c r="AJ18" s="38">
        <v>3.48</v>
      </c>
      <c r="AK18" s="38">
        <v>5.34</v>
      </c>
      <c r="AL18" s="135"/>
      <c r="AM18" s="38">
        <v>15.62</v>
      </c>
      <c r="AN18" s="38">
        <v>19.36</v>
      </c>
      <c r="AO18" s="38">
        <v>7.37</v>
      </c>
      <c r="AP18" s="38">
        <v>2.95</v>
      </c>
      <c r="AQ18" s="38">
        <v>15.17</v>
      </c>
      <c r="AR18" s="135"/>
    </row>
    <row r="19" spans="1:44" ht="16">
      <c r="A19" s="37">
        <v>2012</v>
      </c>
      <c r="B19" s="135"/>
      <c r="C19" s="38">
        <v>21.57</v>
      </c>
      <c r="D19" s="38">
        <v>15.89</v>
      </c>
      <c r="E19" s="38">
        <v>12.97</v>
      </c>
      <c r="F19" s="38">
        <v>17.22</v>
      </c>
      <c r="G19" s="38">
        <v>13.56</v>
      </c>
      <c r="H19" s="38">
        <v>14.85</v>
      </c>
      <c r="I19" s="38">
        <v>36.82</v>
      </c>
      <c r="J19" s="38">
        <v>44.33</v>
      </c>
      <c r="K19" s="38">
        <v>80</v>
      </c>
      <c r="L19" s="38">
        <v>7.5</v>
      </c>
      <c r="M19" s="38">
        <v>2.4500000000000002</v>
      </c>
      <c r="N19" s="38">
        <v>41.43</v>
      </c>
      <c r="O19" s="38">
        <v>28.53</v>
      </c>
      <c r="P19" s="38">
        <v>3.4</v>
      </c>
      <c r="Q19" s="38">
        <v>5.83</v>
      </c>
      <c r="R19" s="38">
        <v>19.170000000000002</v>
      </c>
      <c r="S19" s="38">
        <v>4.18</v>
      </c>
      <c r="T19" s="38">
        <v>3.47</v>
      </c>
      <c r="U19" s="38">
        <v>1.95</v>
      </c>
      <c r="V19" s="135"/>
      <c r="W19" s="38">
        <v>52.24</v>
      </c>
      <c r="X19" s="38">
        <v>5.67</v>
      </c>
      <c r="Y19" s="38">
        <v>1.59</v>
      </c>
      <c r="Z19" s="38">
        <v>39.9</v>
      </c>
      <c r="AA19" s="135"/>
      <c r="AB19" s="38">
        <v>24.66</v>
      </c>
      <c r="AC19" s="38">
        <v>8.84</v>
      </c>
      <c r="AD19" s="38">
        <v>7.93</v>
      </c>
      <c r="AE19" s="38">
        <v>11.71</v>
      </c>
      <c r="AF19" s="38">
        <v>6.06</v>
      </c>
      <c r="AG19" s="38">
        <v>6.44</v>
      </c>
      <c r="AH19" s="38">
        <v>28.61</v>
      </c>
      <c r="AI19" s="38">
        <v>0</v>
      </c>
      <c r="AJ19" s="38">
        <v>3.19</v>
      </c>
      <c r="AK19" s="38">
        <v>4.72</v>
      </c>
      <c r="AL19" s="135"/>
      <c r="AM19" s="38">
        <v>26.83</v>
      </c>
      <c r="AN19" s="38">
        <v>19.11</v>
      </c>
      <c r="AO19" s="38">
        <v>6.69</v>
      </c>
      <c r="AP19" s="38">
        <v>2.41</v>
      </c>
      <c r="AQ19" s="38">
        <v>15.9</v>
      </c>
      <c r="AR19" s="135"/>
    </row>
    <row r="20" spans="1:44" ht="16">
      <c r="A20" s="37">
        <v>2013</v>
      </c>
      <c r="B20" s="135"/>
      <c r="C20" s="38">
        <v>22.34</v>
      </c>
      <c r="D20" s="38">
        <v>18.02</v>
      </c>
      <c r="E20" s="38">
        <v>15.31</v>
      </c>
      <c r="F20" s="38">
        <v>15.9</v>
      </c>
      <c r="G20" s="38">
        <v>14.84</v>
      </c>
      <c r="H20" s="38">
        <v>16.16</v>
      </c>
      <c r="I20" s="38">
        <v>37.090000000000003</v>
      </c>
      <c r="J20" s="38">
        <v>43.93</v>
      </c>
      <c r="K20" s="38">
        <v>50</v>
      </c>
      <c r="L20" s="38">
        <v>7.5</v>
      </c>
      <c r="M20" s="38">
        <v>2.4300000000000002</v>
      </c>
      <c r="N20" s="38">
        <v>42.6</v>
      </c>
      <c r="O20" s="38">
        <v>29.23</v>
      </c>
      <c r="P20" s="38">
        <v>4.07</v>
      </c>
      <c r="Q20" s="38">
        <v>6.48</v>
      </c>
      <c r="R20" s="38">
        <v>21.17</v>
      </c>
      <c r="S20" s="38">
        <v>4.04</v>
      </c>
      <c r="T20" s="38">
        <v>3.56</v>
      </c>
      <c r="U20" s="38">
        <v>1.9</v>
      </c>
      <c r="V20" s="135"/>
      <c r="W20" s="38">
        <v>54.91</v>
      </c>
      <c r="X20" s="38">
        <v>3.83</v>
      </c>
      <c r="Y20" s="38">
        <v>1.34</v>
      </c>
      <c r="Z20" s="38">
        <v>42.63</v>
      </c>
      <c r="AA20" s="135"/>
      <c r="AB20" s="38">
        <v>24.14</v>
      </c>
      <c r="AC20" s="38">
        <v>11.33</v>
      </c>
      <c r="AD20" s="38">
        <v>9.34</v>
      </c>
      <c r="AE20" s="38">
        <v>12.49</v>
      </c>
      <c r="AF20" s="38">
        <v>5.7</v>
      </c>
      <c r="AG20" s="38">
        <v>5.87</v>
      </c>
      <c r="AH20" s="38">
        <v>27.7</v>
      </c>
      <c r="AI20" s="38">
        <v>11.11</v>
      </c>
      <c r="AJ20" s="38">
        <v>3.69</v>
      </c>
      <c r="AK20" s="38">
        <v>5.38</v>
      </c>
      <c r="AL20" s="135"/>
      <c r="AM20" s="38">
        <v>20</v>
      </c>
      <c r="AN20" s="38">
        <v>20.92</v>
      </c>
      <c r="AO20" s="38">
        <v>6.55</v>
      </c>
      <c r="AP20" s="38">
        <v>5.33</v>
      </c>
      <c r="AQ20" s="38">
        <v>16.45</v>
      </c>
      <c r="AR20" s="135"/>
    </row>
    <row r="21" spans="1:44" ht="16">
      <c r="A21" s="37">
        <v>2014</v>
      </c>
      <c r="B21" s="135"/>
      <c r="C21" s="38">
        <v>22.1</v>
      </c>
      <c r="D21" s="38">
        <v>22.89</v>
      </c>
      <c r="E21" s="38">
        <v>16.79</v>
      </c>
      <c r="F21" s="38">
        <v>16.23</v>
      </c>
      <c r="G21" s="38">
        <v>16.309999999999999</v>
      </c>
      <c r="H21" s="38">
        <v>17.95</v>
      </c>
      <c r="I21" s="38">
        <v>38.65</v>
      </c>
      <c r="J21" s="38">
        <v>45.45</v>
      </c>
      <c r="K21" s="135"/>
      <c r="L21" s="38">
        <v>4.55</v>
      </c>
      <c r="M21" s="38">
        <v>2.97</v>
      </c>
      <c r="N21" s="38">
        <v>44.61</v>
      </c>
      <c r="O21" s="38">
        <v>31.42</v>
      </c>
      <c r="P21" s="38">
        <v>3.64</v>
      </c>
      <c r="Q21" s="38">
        <v>7.46</v>
      </c>
      <c r="R21" s="38">
        <v>20.84</v>
      </c>
      <c r="S21" s="38">
        <v>3.84</v>
      </c>
      <c r="T21" s="38">
        <v>3.45</v>
      </c>
      <c r="U21" s="38">
        <v>2.17</v>
      </c>
      <c r="V21" s="135"/>
      <c r="W21" s="38">
        <v>55.33</v>
      </c>
      <c r="X21" s="38">
        <v>5.86</v>
      </c>
      <c r="Y21" s="38">
        <v>1.62</v>
      </c>
      <c r="Z21" s="38">
        <v>46.14</v>
      </c>
      <c r="AA21" s="135"/>
      <c r="AB21" s="38">
        <v>17.02</v>
      </c>
      <c r="AC21" s="38">
        <v>12.98</v>
      </c>
      <c r="AD21" s="38">
        <v>11.05</v>
      </c>
      <c r="AE21" s="38">
        <v>13.66</v>
      </c>
      <c r="AF21" s="38">
        <v>5.45</v>
      </c>
      <c r="AG21" s="38">
        <v>7.33</v>
      </c>
      <c r="AH21" s="38">
        <v>28.33</v>
      </c>
      <c r="AI21" s="38">
        <v>40</v>
      </c>
      <c r="AJ21" s="38">
        <v>3.32</v>
      </c>
      <c r="AK21" s="38">
        <v>5.67</v>
      </c>
      <c r="AL21" s="135"/>
      <c r="AM21" s="38">
        <v>11.76</v>
      </c>
      <c r="AN21" s="38">
        <v>22.77</v>
      </c>
      <c r="AO21" s="38">
        <v>6.45</v>
      </c>
      <c r="AP21" s="38">
        <v>5.23</v>
      </c>
      <c r="AQ21" s="38">
        <v>18.77</v>
      </c>
      <c r="AR21" s="135"/>
    </row>
    <row r="22" spans="1:44" ht="16">
      <c r="A22" s="37">
        <v>2015</v>
      </c>
      <c r="B22" s="135"/>
      <c r="C22" s="38">
        <v>22.69</v>
      </c>
      <c r="D22" s="38">
        <v>25.5</v>
      </c>
      <c r="E22" s="38">
        <v>15.54</v>
      </c>
      <c r="F22" s="38">
        <v>16.579999999999998</v>
      </c>
      <c r="G22" s="38">
        <v>16.97</v>
      </c>
      <c r="H22" s="38">
        <v>20.350000000000001</v>
      </c>
      <c r="I22" s="38">
        <v>42.42</v>
      </c>
      <c r="J22" s="38">
        <v>54.69</v>
      </c>
      <c r="K22" s="135"/>
      <c r="L22" s="38">
        <v>8.82</v>
      </c>
      <c r="M22" s="38">
        <v>2.98</v>
      </c>
      <c r="N22" s="38">
        <v>50.96</v>
      </c>
      <c r="O22" s="38">
        <v>36.28</v>
      </c>
      <c r="P22" s="38">
        <v>4.12</v>
      </c>
      <c r="Q22" s="38">
        <v>6.64</v>
      </c>
      <c r="R22" s="38">
        <v>24.76</v>
      </c>
      <c r="S22" s="38">
        <v>3.66</v>
      </c>
      <c r="T22" s="38">
        <v>3.5</v>
      </c>
      <c r="U22" s="38">
        <v>1.76</v>
      </c>
      <c r="V22" s="135"/>
      <c r="W22" s="38">
        <v>57.23</v>
      </c>
      <c r="X22" s="38">
        <v>6.84</v>
      </c>
      <c r="Y22" s="38">
        <v>1.59</v>
      </c>
      <c r="Z22" s="38">
        <v>48.28</v>
      </c>
      <c r="AA22" s="135"/>
      <c r="AB22" s="38">
        <v>10.6</v>
      </c>
      <c r="AC22" s="38">
        <v>14.1</v>
      </c>
      <c r="AD22" s="38">
        <v>10.35</v>
      </c>
      <c r="AE22" s="38">
        <v>15.33</v>
      </c>
      <c r="AF22" s="38">
        <v>5.08</v>
      </c>
      <c r="AG22" s="38">
        <v>8.7899999999999991</v>
      </c>
      <c r="AH22" s="38">
        <v>29</v>
      </c>
      <c r="AI22" s="38">
        <v>50</v>
      </c>
      <c r="AJ22" s="38">
        <v>3.65</v>
      </c>
      <c r="AK22" s="38">
        <v>5.44</v>
      </c>
      <c r="AL22" s="135"/>
      <c r="AM22" s="38">
        <v>16</v>
      </c>
      <c r="AN22" s="38">
        <v>23.45</v>
      </c>
      <c r="AO22" s="38">
        <v>6.74</v>
      </c>
      <c r="AP22" s="38">
        <v>7.42</v>
      </c>
      <c r="AQ22" s="38">
        <v>20.67</v>
      </c>
      <c r="AR22" s="135"/>
    </row>
    <row r="23" spans="1:44" ht="16">
      <c r="A23" s="37">
        <v>2016</v>
      </c>
      <c r="B23" s="135"/>
      <c r="C23" s="38">
        <v>22.34</v>
      </c>
      <c r="D23" s="38">
        <v>29.41</v>
      </c>
      <c r="E23" s="38">
        <v>17.36</v>
      </c>
      <c r="F23" s="38">
        <v>15.82</v>
      </c>
      <c r="G23" s="38">
        <v>17.77</v>
      </c>
      <c r="H23" s="38">
        <v>20.010000000000002</v>
      </c>
      <c r="I23" s="38">
        <v>46.63</v>
      </c>
      <c r="J23" s="38">
        <v>62.68</v>
      </c>
      <c r="K23" s="135"/>
      <c r="L23" s="38">
        <v>11.11</v>
      </c>
      <c r="M23" s="38">
        <v>3.06</v>
      </c>
      <c r="N23" s="38">
        <v>56.29</v>
      </c>
      <c r="O23" s="38">
        <v>44.84</v>
      </c>
      <c r="P23" s="38">
        <v>4.3600000000000003</v>
      </c>
      <c r="Q23" s="38">
        <v>6.97</v>
      </c>
      <c r="R23" s="38">
        <v>26.04</v>
      </c>
      <c r="S23" s="38">
        <v>3.78</v>
      </c>
      <c r="T23" s="38">
        <v>3.43</v>
      </c>
      <c r="U23" s="38">
        <v>2.04</v>
      </c>
      <c r="V23" s="135"/>
      <c r="W23" s="38">
        <v>57.65</v>
      </c>
      <c r="X23" s="38">
        <v>7.08</v>
      </c>
      <c r="Y23" s="38">
        <v>1.66</v>
      </c>
      <c r="Z23" s="38">
        <v>52.72</v>
      </c>
      <c r="AA23" s="135"/>
      <c r="AB23" s="38">
        <v>8.33</v>
      </c>
      <c r="AC23" s="38">
        <v>13.99</v>
      </c>
      <c r="AD23" s="38">
        <v>11.75</v>
      </c>
      <c r="AE23" s="38">
        <v>17.2</v>
      </c>
      <c r="AF23" s="38">
        <v>5.7</v>
      </c>
      <c r="AG23" s="38">
        <v>9.33</v>
      </c>
      <c r="AH23" s="38">
        <v>29.17</v>
      </c>
      <c r="AI23" s="38">
        <v>30</v>
      </c>
      <c r="AJ23" s="38">
        <v>3.86</v>
      </c>
      <c r="AK23" s="38">
        <v>5.46</v>
      </c>
      <c r="AL23" s="135"/>
      <c r="AM23" s="38">
        <v>4.82</v>
      </c>
      <c r="AN23" s="38">
        <v>24.64</v>
      </c>
      <c r="AO23" s="38">
        <v>6.91</v>
      </c>
      <c r="AP23" s="38">
        <v>9.77</v>
      </c>
      <c r="AQ23" s="38">
        <v>22.82</v>
      </c>
      <c r="AR23" s="135"/>
    </row>
    <row r="24" spans="1:44" ht="16">
      <c r="A24" s="37">
        <v>2017</v>
      </c>
      <c r="B24" s="135"/>
      <c r="C24" s="38">
        <v>23.84</v>
      </c>
      <c r="D24" s="38">
        <v>32.58</v>
      </c>
      <c r="E24" s="38">
        <v>17.059999999999999</v>
      </c>
      <c r="F24" s="38">
        <v>15.78</v>
      </c>
      <c r="G24" s="38">
        <v>17.89</v>
      </c>
      <c r="H24" s="38">
        <v>19.68</v>
      </c>
      <c r="I24" s="38">
        <v>44.34</v>
      </c>
      <c r="J24" s="38">
        <v>64.25</v>
      </c>
      <c r="K24" s="135"/>
      <c r="L24" s="38">
        <v>7.41</v>
      </c>
      <c r="M24" s="38">
        <v>3.02</v>
      </c>
      <c r="N24" s="38">
        <v>56.55</v>
      </c>
      <c r="O24" s="38">
        <v>53.74</v>
      </c>
      <c r="P24" s="38">
        <v>4.25</v>
      </c>
      <c r="Q24" s="38">
        <v>6.92</v>
      </c>
      <c r="R24" s="38">
        <v>27.64</v>
      </c>
      <c r="S24" s="38">
        <v>3.71</v>
      </c>
      <c r="T24" s="38">
        <v>4</v>
      </c>
      <c r="U24" s="38">
        <v>2.27</v>
      </c>
      <c r="V24" s="135"/>
      <c r="W24" s="38">
        <v>56.57</v>
      </c>
      <c r="X24" s="38">
        <v>4.95</v>
      </c>
      <c r="Y24" s="38">
        <v>1.51</v>
      </c>
      <c r="Z24" s="38">
        <v>55.15</v>
      </c>
      <c r="AA24" s="135"/>
      <c r="AB24" s="38">
        <v>9.06</v>
      </c>
      <c r="AC24" s="38">
        <v>16.52</v>
      </c>
      <c r="AD24" s="38">
        <v>11.33</v>
      </c>
      <c r="AE24" s="38">
        <v>17.93</v>
      </c>
      <c r="AF24" s="38">
        <v>5.01</v>
      </c>
      <c r="AG24" s="38">
        <v>10.16</v>
      </c>
      <c r="AH24" s="38">
        <v>30.14</v>
      </c>
      <c r="AI24" s="38">
        <v>64.290000000000006</v>
      </c>
      <c r="AJ24" s="38">
        <v>3.83</v>
      </c>
      <c r="AK24" s="38">
        <v>5.77</v>
      </c>
      <c r="AL24" s="135"/>
      <c r="AM24" s="38">
        <v>10</v>
      </c>
      <c r="AN24" s="38">
        <v>25.56</v>
      </c>
      <c r="AO24" s="38">
        <v>7.03</v>
      </c>
      <c r="AP24" s="38">
        <v>8.2200000000000006</v>
      </c>
      <c r="AQ24" s="38">
        <v>24.4</v>
      </c>
      <c r="AR24" s="135"/>
    </row>
    <row r="25" spans="1:44" ht="16">
      <c r="A25" s="37">
        <v>2018</v>
      </c>
      <c r="B25" s="135"/>
      <c r="C25" s="38">
        <v>22.66</v>
      </c>
      <c r="D25" s="38">
        <v>33.44</v>
      </c>
      <c r="E25" s="38">
        <v>18.100000000000001</v>
      </c>
      <c r="F25" s="38">
        <v>15.43</v>
      </c>
      <c r="G25" s="38">
        <v>17.95</v>
      </c>
      <c r="H25" s="38">
        <v>20.11</v>
      </c>
      <c r="I25" s="38">
        <v>48.68</v>
      </c>
      <c r="J25" s="38">
        <v>61.93</v>
      </c>
      <c r="K25" s="135"/>
      <c r="L25" s="38">
        <v>16.670000000000002</v>
      </c>
      <c r="M25" s="38">
        <v>2.9</v>
      </c>
      <c r="N25" s="38">
        <v>54.7</v>
      </c>
      <c r="O25" s="38">
        <v>50.41</v>
      </c>
      <c r="P25" s="38">
        <v>4.51</v>
      </c>
      <c r="Q25" s="38">
        <v>7.23</v>
      </c>
      <c r="R25" s="38">
        <v>26.45</v>
      </c>
      <c r="S25" s="38">
        <v>3.79</v>
      </c>
      <c r="T25" s="38">
        <v>3.88</v>
      </c>
      <c r="U25" s="38">
        <v>1.99</v>
      </c>
      <c r="V25" s="135"/>
      <c r="W25" s="38">
        <v>55.43</v>
      </c>
      <c r="X25" s="38">
        <v>6.28</v>
      </c>
      <c r="Y25" s="38">
        <v>1.63</v>
      </c>
      <c r="Z25" s="38">
        <v>58.12</v>
      </c>
      <c r="AA25" s="38">
        <v>0</v>
      </c>
      <c r="AB25" s="38">
        <v>8.3699999999999992</v>
      </c>
      <c r="AC25" s="38">
        <v>18.16</v>
      </c>
      <c r="AD25" s="38">
        <v>14.72</v>
      </c>
      <c r="AE25" s="38">
        <v>17.59</v>
      </c>
      <c r="AF25" s="38">
        <v>6.1</v>
      </c>
      <c r="AG25" s="38">
        <v>9.01</v>
      </c>
      <c r="AH25" s="38">
        <v>28.75</v>
      </c>
      <c r="AI25" s="38">
        <v>36.36</v>
      </c>
      <c r="AJ25" s="38">
        <v>3.85</v>
      </c>
      <c r="AK25" s="38">
        <v>5.45</v>
      </c>
      <c r="AL25" s="135"/>
      <c r="AM25" s="38">
        <v>0</v>
      </c>
      <c r="AN25" s="38">
        <v>26.44</v>
      </c>
      <c r="AO25" s="38">
        <v>7.88</v>
      </c>
      <c r="AP25" s="38">
        <v>11.29</v>
      </c>
      <c r="AQ25" s="38">
        <v>25.25</v>
      </c>
      <c r="AR25" s="135"/>
    </row>
    <row r="26" spans="1:44" ht="16">
      <c r="A26" s="37">
        <v>2019</v>
      </c>
      <c r="B26" s="135"/>
      <c r="C26" s="38">
        <v>21.8</v>
      </c>
      <c r="D26" s="38">
        <v>32.799999999999997</v>
      </c>
      <c r="E26" s="38">
        <v>17.88</v>
      </c>
      <c r="F26" s="38">
        <v>14.8</v>
      </c>
      <c r="G26" s="38">
        <v>17.28</v>
      </c>
      <c r="H26" s="38">
        <v>19.190000000000001</v>
      </c>
      <c r="I26" s="38">
        <v>48.82</v>
      </c>
      <c r="J26" s="38">
        <v>56.64</v>
      </c>
      <c r="K26" s="135"/>
      <c r="L26" s="38">
        <v>3.23</v>
      </c>
      <c r="M26" s="38">
        <v>2.62</v>
      </c>
      <c r="N26" s="38">
        <v>51.6</v>
      </c>
      <c r="O26" s="38">
        <v>43.01</v>
      </c>
      <c r="P26" s="38">
        <v>4.32</v>
      </c>
      <c r="Q26" s="38">
        <v>6.13</v>
      </c>
      <c r="R26" s="38">
        <v>27.12</v>
      </c>
      <c r="S26" s="38">
        <v>3.23</v>
      </c>
      <c r="T26" s="38">
        <v>4.96</v>
      </c>
      <c r="U26" s="38">
        <v>2.2799999999999998</v>
      </c>
      <c r="V26" s="135"/>
      <c r="W26" s="38">
        <v>52.9</v>
      </c>
      <c r="X26" s="38">
        <v>7.16</v>
      </c>
      <c r="Y26" s="38">
        <v>1.26</v>
      </c>
      <c r="Z26" s="38">
        <v>58.02</v>
      </c>
      <c r="AA26" s="38">
        <v>0</v>
      </c>
      <c r="AB26" s="38">
        <v>5.43</v>
      </c>
      <c r="AC26" s="38">
        <v>19.28</v>
      </c>
      <c r="AD26" s="38">
        <v>13.75</v>
      </c>
      <c r="AE26" s="38">
        <v>16.41</v>
      </c>
      <c r="AF26" s="38">
        <v>5.1100000000000003</v>
      </c>
      <c r="AG26" s="38">
        <v>10.91</v>
      </c>
      <c r="AH26" s="38">
        <v>26.18</v>
      </c>
      <c r="AI26" s="38">
        <v>33.33</v>
      </c>
      <c r="AJ26" s="38">
        <v>3.78</v>
      </c>
      <c r="AK26" s="38">
        <v>5.43</v>
      </c>
      <c r="AL26" s="135"/>
      <c r="AM26" s="38">
        <v>0</v>
      </c>
      <c r="AN26" s="38">
        <v>27.26</v>
      </c>
      <c r="AO26" s="38">
        <v>7.69</v>
      </c>
      <c r="AP26" s="38">
        <v>12.14</v>
      </c>
      <c r="AQ26" s="38">
        <v>25.28</v>
      </c>
      <c r="AR26" s="135"/>
    </row>
    <row r="27" spans="1:44" ht="16">
      <c r="A27" s="37">
        <v>2020</v>
      </c>
      <c r="B27" s="135"/>
      <c r="C27" s="38">
        <v>22.14</v>
      </c>
      <c r="D27" s="38">
        <v>32.07</v>
      </c>
      <c r="E27" s="38">
        <v>21.01</v>
      </c>
      <c r="F27" s="38">
        <v>15.11</v>
      </c>
      <c r="G27" s="38">
        <v>16.850000000000001</v>
      </c>
      <c r="H27" s="38">
        <v>18.34</v>
      </c>
      <c r="I27" s="38">
        <v>47.37</v>
      </c>
      <c r="J27" s="38">
        <v>56.5</v>
      </c>
      <c r="K27" s="135"/>
      <c r="L27" s="38">
        <v>20</v>
      </c>
      <c r="M27" s="38">
        <v>2.52</v>
      </c>
      <c r="N27" s="38">
        <v>49.51</v>
      </c>
      <c r="O27" s="38">
        <v>38.71</v>
      </c>
      <c r="P27" s="38">
        <v>4.08</v>
      </c>
      <c r="Q27" s="38">
        <v>6.31</v>
      </c>
      <c r="R27" s="38">
        <v>24.27</v>
      </c>
      <c r="S27" s="38">
        <v>2.95</v>
      </c>
      <c r="T27" s="38">
        <v>4.0599999999999996</v>
      </c>
      <c r="U27" s="38">
        <v>2.2400000000000002</v>
      </c>
      <c r="V27" s="135"/>
      <c r="W27" s="38">
        <v>49.89</v>
      </c>
      <c r="X27" s="38">
        <v>6.43</v>
      </c>
      <c r="Y27" s="38">
        <v>1.05</v>
      </c>
      <c r="Z27" s="38">
        <v>56.59</v>
      </c>
      <c r="AA27" s="38">
        <v>4.55</v>
      </c>
      <c r="AB27" s="38">
        <v>4.01</v>
      </c>
      <c r="AC27" s="38">
        <v>20.149999999999999</v>
      </c>
      <c r="AD27" s="38">
        <v>13.64</v>
      </c>
      <c r="AE27" s="38">
        <v>16.12</v>
      </c>
      <c r="AF27" s="38">
        <v>5.43</v>
      </c>
      <c r="AG27" s="38">
        <v>8.9600000000000009</v>
      </c>
      <c r="AH27" s="38">
        <v>27.48</v>
      </c>
      <c r="AI27" s="38">
        <v>45.45</v>
      </c>
      <c r="AJ27" s="38">
        <v>3.68</v>
      </c>
      <c r="AK27" s="38">
        <v>4.74</v>
      </c>
      <c r="AL27" s="135"/>
      <c r="AM27" s="38">
        <v>0</v>
      </c>
      <c r="AN27" s="38">
        <v>26.61</v>
      </c>
      <c r="AO27" s="38">
        <v>8.5</v>
      </c>
      <c r="AP27" s="38">
        <v>15.85</v>
      </c>
      <c r="AQ27" s="38">
        <v>25.02</v>
      </c>
      <c r="AR27" s="135"/>
    </row>
    <row r="28" spans="1:44" ht="16">
      <c r="A28" s="37">
        <v>2021</v>
      </c>
      <c r="B28" s="135"/>
      <c r="C28" s="38">
        <v>18.989999999999998</v>
      </c>
      <c r="D28" s="38">
        <v>27.32</v>
      </c>
      <c r="E28" s="38">
        <v>14.54</v>
      </c>
      <c r="F28" s="38">
        <v>14.94</v>
      </c>
      <c r="G28" s="38">
        <v>15.16</v>
      </c>
      <c r="H28" s="38">
        <v>16.98</v>
      </c>
      <c r="I28" s="38">
        <v>41.24</v>
      </c>
      <c r="J28" s="38">
        <v>53.01</v>
      </c>
      <c r="K28" s="135"/>
      <c r="L28" s="38">
        <v>13.64</v>
      </c>
      <c r="M28" s="38">
        <v>2.35</v>
      </c>
      <c r="N28" s="38">
        <v>47.85</v>
      </c>
      <c r="O28" s="38">
        <v>35.049999999999997</v>
      </c>
      <c r="P28" s="38">
        <v>4.17</v>
      </c>
      <c r="Q28" s="38">
        <v>5.87</v>
      </c>
      <c r="R28" s="38">
        <v>24.46</v>
      </c>
      <c r="S28" s="38">
        <v>2.98</v>
      </c>
      <c r="T28" s="38">
        <v>4.66</v>
      </c>
      <c r="U28" s="38">
        <v>2.59</v>
      </c>
      <c r="V28" s="135"/>
      <c r="W28" s="38">
        <v>25.08</v>
      </c>
      <c r="X28" s="38">
        <v>6.26</v>
      </c>
      <c r="Y28" s="38">
        <v>0.97</v>
      </c>
      <c r="Z28" s="38">
        <v>54.96</v>
      </c>
      <c r="AA28" s="38">
        <v>0</v>
      </c>
      <c r="AB28" s="38">
        <v>4.9400000000000004</v>
      </c>
      <c r="AC28" s="38">
        <v>20.61</v>
      </c>
      <c r="AD28" s="38">
        <v>14.35</v>
      </c>
      <c r="AE28" s="38">
        <v>14.79</v>
      </c>
      <c r="AF28" s="38">
        <v>6.12</v>
      </c>
      <c r="AG28" s="38">
        <v>8.5399999999999991</v>
      </c>
      <c r="AH28" s="38">
        <v>27.09</v>
      </c>
      <c r="AI28" s="38">
        <v>62.5</v>
      </c>
      <c r="AJ28" s="38">
        <v>3.74</v>
      </c>
      <c r="AK28" s="38">
        <v>4.33</v>
      </c>
      <c r="AL28" s="135"/>
      <c r="AM28" s="38">
        <v>10.61</v>
      </c>
      <c r="AN28" s="38">
        <v>27.11</v>
      </c>
      <c r="AO28" s="38">
        <v>8.2100000000000009</v>
      </c>
      <c r="AP28" s="38">
        <v>15.37</v>
      </c>
      <c r="AQ28" s="38">
        <v>24.26</v>
      </c>
      <c r="AR28" s="135"/>
    </row>
    <row r="29" spans="1:44" ht="16">
      <c r="A29" s="37">
        <v>2022</v>
      </c>
      <c r="B29" s="135"/>
      <c r="C29" s="38">
        <v>17.7</v>
      </c>
      <c r="D29" s="38">
        <v>28.79</v>
      </c>
      <c r="E29" s="38">
        <v>18.11</v>
      </c>
      <c r="F29" s="38">
        <v>12.95</v>
      </c>
      <c r="G29" s="38">
        <v>13.99</v>
      </c>
      <c r="H29" s="38">
        <v>13.92</v>
      </c>
      <c r="I29" s="38">
        <v>47.88</v>
      </c>
      <c r="J29" s="38">
        <v>44.31</v>
      </c>
      <c r="K29" s="135"/>
      <c r="L29" s="38">
        <v>11.11</v>
      </c>
      <c r="M29" s="38">
        <v>2.4</v>
      </c>
      <c r="N29" s="38">
        <v>37.18</v>
      </c>
      <c r="O29" s="38">
        <v>30.67</v>
      </c>
      <c r="P29" s="38">
        <v>3.43</v>
      </c>
      <c r="Q29" s="38">
        <v>4.4400000000000004</v>
      </c>
      <c r="R29" s="38">
        <v>23.21</v>
      </c>
      <c r="S29" s="38">
        <v>2.75</v>
      </c>
      <c r="T29" s="38">
        <v>4.4400000000000004</v>
      </c>
      <c r="U29" s="38">
        <v>3.19</v>
      </c>
      <c r="V29" s="135"/>
      <c r="W29" s="38">
        <v>49.01</v>
      </c>
      <c r="X29" s="38">
        <v>6.98</v>
      </c>
      <c r="Y29" s="38">
        <v>0.79</v>
      </c>
      <c r="Z29" s="38">
        <v>48.09</v>
      </c>
      <c r="AA29" s="38">
        <v>7.41</v>
      </c>
      <c r="AB29" s="38">
        <v>4.92</v>
      </c>
      <c r="AC29" s="38">
        <v>19.899999999999999</v>
      </c>
      <c r="AD29" s="38">
        <v>11.53</v>
      </c>
      <c r="AE29" s="38">
        <v>13.06</v>
      </c>
      <c r="AF29" s="38">
        <v>5.07</v>
      </c>
      <c r="AG29" s="38">
        <v>8.4499999999999993</v>
      </c>
      <c r="AH29" s="38">
        <v>23.73</v>
      </c>
      <c r="AI29" s="38">
        <v>18.18</v>
      </c>
      <c r="AJ29" s="38">
        <v>3.35</v>
      </c>
      <c r="AK29" s="38">
        <v>3.6</v>
      </c>
      <c r="AL29" s="135"/>
      <c r="AM29" s="38">
        <v>9.2100000000000009</v>
      </c>
      <c r="AN29" s="38">
        <v>25.18</v>
      </c>
      <c r="AO29" s="38">
        <v>7.28</v>
      </c>
      <c r="AP29" s="38">
        <v>13.2</v>
      </c>
      <c r="AQ29" s="38">
        <v>21.21</v>
      </c>
      <c r="AR29" s="135"/>
    </row>
    <row r="30" spans="1:44" ht="16">
      <c r="A30" s="37">
        <v>2023</v>
      </c>
      <c r="B30" s="135"/>
      <c r="C30" s="38">
        <v>16.82</v>
      </c>
      <c r="D30" s="38">
        <v>29.55</v>
      </c>
      <c r="E30" s="38">
        <v>20.73</v>
      </c>
      <c r="F30" s="38">
        <v>16.62</v>
      </c>
      <c r="G30" s="38">
        <v>16.149999999999999</v>
      </c>
      <c r="H30" s="38">
        <v>18.739999999999998</v>
      </c>
      <c r="I30" s="38">
        <v>49.63</v>
      </c>
      <c r="J30" s="38">
        <v>59.6</v>
      </c>
      <c r="K30" s="135"/>
      <c r="L30" s="38">
        <v>4.3499999999999996</v>
      </c>
      <c r="M30" s="38">
        <v>2.71</v>
      </c>
      <c r="N30" s="38">
        <v>47.74</v>
      </c>
      <c r="O30" s="38">
        <v>44.93</v>
      </c>
      <c r="P30" s="38">
        <v>4.2300000000000004</v>
      </c>
      <c r="Q30" s="38">
        <v>3.99</v>
      </c>
      <c r="R30" s="38">
        <v>26.24</v>
      </c>
      <c r="S30" s="38">
        <v>3.28</v>
      </c>
      <c r="T30" s="38">
        <v>4.29</v>
      </c>
      <c r="U30" s="38">
        <v>2.5099999999999998</v>
      </c>
      <c r="V30" s="135"/>
      <c r="W30" s="38">
        <v>44.52</v>
      </c>
      <c r="X30" s="38">
        <v>8.81</v>
      </c>
      <c r="Y30" s="38">
        <v>0.77</v>
      </c>
      <c r="Z30" s="38">
        <v>54.33</v>
      </c>
      <c r="AA30" s="38">
        <v>3.45</v>
      </c>
      <c r="AB30" s="38">
        <v>8.39</v>
      </c>
      <c r="AC30" s="38">
        <v>33</v>
      </c>
      <c r="AD30" s="38">
        <v>12.75</v>
      </c>
      <c r="AE30" s="38">
        <v>17.73</v>
      </c>
      <c r="AF30" s="38">
        <v>7.15</v>
      </c>
      <c r="AG30" s="38">
        <v>8.35</v>
      </c>
      <c r="AH30" s="38">
        <v>25.69</v>
      </c>
      <c r="AI30" s="38">
        <v>10</v>
      </c>
      <c r="AJ30" s="38">
        <v>4.32</v>
      </c>
      <c r="AK30" s="38">
        <v>4.5999999999999996</v>
      </c>
      <c r="AL30" s="135"/>
      <c r="AM30" s="38">
        <v>21.51</v>
      </c>
      <c r="AN30" s="38">
        <v>29.37</v>
      </c>
      <c r="AO30" s="38">
        <v>7.75</v>
      </c>
      <c r="AP30" s="38">
        <v>17.36</v>
      </c>
      <c r="AQ30" s="38">
        <v>23.23</v>
      </c>
      <c r="AR30" s="135"/>
    </row>
    <row r="31" spans="1:44" ht="16">
      <c r="A31" s="37">
        <v>2024</v>
      </c>
      <c r="B31" s="135"/>
      <c r="C31" s="38">
        <v>21.27</v>
      </c>
      <c r="D31" s="38">
        <v>29.01</v>
      </c>
      <c r="E31" s="38">
        <v>20.12</v>
      </c>
      <c r="F31" s="38">
        <v>19.95</v>
      </c>
      <c r="G31" s="38">
        <v>17.600000000000001</v>
      </c>
      <c r="H31" s="38">
        <v>22.46</v>
      </c>
      <c r="I31" s="38">
        <v>52.85</v>
      </c>
      <c r="J31" s="38">
        <v>65.099999999999994</v>
      </c>
      <c r="K31" s="135"/>
      <c r="L31" s="38">
        <v>27.78</v>
      </c>
      <c r="M31" s="38">
        <v>3.01</v>
      </c>
      <c r="N31" s="38">
        <v>50.74</v>
      </c>
      <c r="O31" s="38">
        <v>54.2</v>
      </c>
      <c r="P31" s="38">
        <v>5.74</v>
      </c>
      <c r="Q31" s="38">
        <v>5.94</v>
      </c>
      <c r="R31" s="38">
        <v>26.91</v>
      </c>
      <c r="S31" s="38">
        <v>4.16</v>
      </c>
      <c r="T31" s="38">
        <v>5.31</v>
      </c>
      <c r="U31" s="38">
        <v>3.24</v>
      </c>
      <c r="V31" s="135"/>
      <c r="W31" s="38">
        <v>44.73</v>
      </c>
      <c r="X31" s="38">
        <v>9.6300000000000008</v>
      </c>
      <c r="Y31" s="38">
        <v>0.6</v>
      </c>
      <c r="Z31" s="38">
        <v>56.06</v>
      </c>
      <c r="AA31" s="38">
        <v>4.3499999999999996</v>
      </c>
      <c r="AB31" s="38">
        <v>19.75</v>
      </c>
      <c r="AC31" s="38">
        <v>43.86</v>
      </c>
      <c r="AD31" s="38">
        <v>16.57</v>
      </c>
      <c r="AE31" s="38">
        <v>20.54</v>
      </c>
      <c r="AF31" s="38">
        <v>7.57</v>
      </c>
      <c r="AG31" s="38">
        <v>10.9</v>
      </c>
      <c r="AH31" s="38">
        <v>28.76</v>
      </c>
      <c r="AI31" s="38">
        <v>18.18</v>
      </c>
      <c r="AJ31" s="38">
        <v>4.7</v>
      </c>
      <c r="AK31" s="38">
        <v>4.6100000000000003</v>
      </c>
      <c r="AL31" s="135"/>
      <c r="AM31" s="38">
        <v>21.51</v>
      </c>
      <c r="AN31" s="38">
        <v>32.35</v>
      </c>
      <c r="AO31" s="38">
        <v>8.86</v>
      </c>
      <c r="AP31" s="38">
        <v>21.66</v>
      </c>
      <c r="AQ31" s="38">
        <v>25.3</v>
      </c>
      <c r="AR31" s="135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R31"/>
  <sheetViews>
    <sheetView workbookViewId="0">
      <selection activeCell="E11" sqref="E11"/>
    </sheetView>
  </sheetViews>
  <sheetFormatPr baseColWidth="10" defaultColWidth="8.83203125" defaultRowHeight="15"/>
  <sheetData>
    <row r="1" spans="1:44">
      <c r="A1" s="37" t="s">
        <v>0</v>
      </c>
      <c r="B1" s="37" t="s">
        <v>601</v>
      </c>
      <c r="C1" s="37" t="s">
        <v>602</v>
      </c>
      <c r="D1" s="37" t="s">
        <v>603</v>
      </c>
      <c r="E1" s="37" t="s">
        <v>604</v>
      </c>
      <c r="F1" s="37" t="s">
        <v>605</v>
      </c>
      <c r="G1" s="37" t="s">
        <v>606</v>
      </c>
      <c r="H1" s="37" t="s">
        <v>607</v>
      </c>
      <c r="I1" s="37" t="s">
        <v>608</v>
      </c>
      <c r="J1" s="37" t="s">
        <v>609</v>
      </c>
      <c r="K1" s="37" t="s">
        <v>610</v>
      </c>
      <c r="L1" s="37" t="s">
        <v>611</v>
      </c>
      <c r="M1" s="37" t="s">
        <v>383</v>
      </c>
      <c r="N1" s="37" t="s">
        <v>355</v>
      </c>
      <c r="O1" s="37" t="s">
        <v>612</v>
      </c>
      <c r="P1" s="37" t="s">
        <v>613</v>
      </c>
      <c r="Q1" s="37" t="s">
        <v>614</v>
      </c>
      <c r="R1" s="37" t="s">
        <v>615</v>
      </c>
      <c r="S1" s="37" t="s">
        <v>616</v>
      </c>
      <c r="T1" s="37" t="s">
        <v>356</v>
      </c>
      <c r="U1" s="37" t="s">
        <v>617</v>
      </c>
      <c r="V1" s="37" t="s">
        <v>618</v>
      </c>
      <c r="W1" s="37" t="s">
        <v>619</v>
      </c>
      <c r="X1" s="37" t="s">
        <v>620</v>
      </c>
      <c r="Y1" s="37" t="s">
        <v>621</v>
      </c>
      <c r="Z1" s="37" t="s">
        <v>622</v>
      </c>
      <c r="AA1" s="37" t="s">
        <v>623</v>
      </c>
      <c r="AB1" s="37" t="s">
        <v>624</v>
      </c>
      <c r="AC1" s="37" t="s">
        <v>625</v>
      </c>
      <c r="AD1" s="37" t="s">
        <v>626</v>
      </c>
      <c r="AE1" s="37" t="s">
        <v>433</v>
      </c>
      <c r="AF1" s="37" t="s">
        <v>627</v>
      </c>
      <c r="AG1" s="37" t="s">
        <v>628</v>
      </c>
      <c r="AH1" s="37" t="s">
        <v>389</v>
      </c>
      <c r="AI1" s="37" t="s">
        <v>629</v>
      </c>
      <c r="AJ1" s="37" t="s">
        <v>357</v>
      </c>
      <c r="AK1" s="37" t="s">
        <v>630</v>
      </c>
      <c r="AL1" s="37" t="s">
        <v>631</v>
      </c>
      <c r="AM1" s="37" t="s">
        <v>632</v>
      </c>
      <c r="AN1" s="37" t="s">
        <v>392</v>
      </c>
      <c r="AO1" s="37" t="s">
        <v>633</v>
      </c>
      <c r="AP1" s="37" t="s">
        <v>634</v>
      </c>
      <c r="AQ1" s="37" t="s">
        <v>635</v>
      </c>
      <c r="AR1" s="37" t="s">
        <v>636</v>
      </c>
    </row>
    <row r="2" spans="1:44" ht="16">
      <c r="A2" s="37">
        <v>1995</v>
      </c>
      <c r="B2" s="38">
        <v>48.17</v>
      </c>
      <c r="C2" s="38">
        <v>53.21</v>
      </c>
      <c r="D2" s="38">
        <v>39.72</v>
      </c>
      <c r="E2" s="38">
        <v>15.05</v>
      </c>
      <c r="F2" s="38">
        <v>25.03</v>
      </c>
      <c r="G2" s="38">
        <v>26.93</v>
      </c>
      <c r="H2" s="38">
        <v>15.79</v>
      </c>
      <c r="I2" s="38">
        <v>0</v>
      </c>
      <c r="J2" s="38">
        <v>42.06</v>
      </c>
      <c r="K2" s="135"/>
      <c r="L2" s="135"/>
      <c r="M2" s="38">
        <v>9.0299999999999994</v>
      </c>
      <c r="N2" s="38">
        <v>48.98</v>
      </c>
      <c r="O2" s="38">
        <v>36.36</v>
      </c>
      <c r="P2" s="38">
        <v>12.04</v>
      </c>
      <c r="Q2" s="38">
        <v>16.329999999999998</v>
      </c>
      <c r="R2" s="38">
        <v>28.04</v>
      </c>
      <c r="S2" s="38">
        <v>4.12</v>
      </c>
      <c r="T2" s="135"/>
      <c r="U2" s="38">
        <v>5.71</v>
      </c>
      <c r="V2" s="38">
        <v>1.1499999999999999</v>
      </c>
      <c r="W2" s="38">
        <v>0.98</v>
      </c>
      <c r="X2" s="38">
        <v>9.89</v>
      </c>
      <c r="Y2" s="38">
        <v>21.82</v>
      </c>
      <c r="Z2" s="38">
        <v>44.78</v>
      </c>
      <c r="AA2" s="38">
        <v>0</v>
      </c>
      <c r="AB2" s="135"/>
      <c r="AC2" s="38">
        <v>18.7</v>
      </c>
      <c r="AD2" s="38">
        <v>29.64</v>
      </c>
      <c r="AE2" s="38">
        <v>10.36</v>
      </c>
      <c r="AF2" s="38">
        <v>14</v>
      </c>
      <c r="AG2" s="38">
        <v>13.41</v>
      </c>
      <c r="AH2" s="38">
        <v>32.840000000000003</v>
      </c>
      <c r="AI2" s="135"/>
      <c r="AJ2" s="38">
        <v>4.62</v>
      </c>
      <c r="AK2" s="38">
        <v>14.78</v>
      </c>
      <c r="AL2" s="38">
        <v>9.09</v>
      </c>
      <c r="AM2" s="38">
        <v>20</v>
      </c>
      <c r="AN2" s="38">
        <v>25.46</v>
      </c>
      <c r="AO2" s="38">
        <v>8.34</v>
      </c>
      <c r="AP2" s="135"/>
      <c r="AQ2" s="38">
        <v>15.16</v>
      </c>
      <c r="AR2" s="38">
        <v>16.670000000000002</v>
      </c>
    </row>
    <row r="3" spans="1:44" ht="16">
      <c r="A3" s="37">
        <v>1996</v>
      </c>
      <c r="B3" s="38">
        <v>47.58</v>
      </c>
      <c r="C3" s="38">
        <v>55.08</v>
      </c>
      <c r="D3" s="38">
        <v>44.68</v>
      </c>
      <c r="E3" s="38">
        <v>15.22</v>
      </c>
      <c r="F3" s="38">
        <v>26.83</v>
      </c>
      <c r="G3" s="38">
        <v>29.31</v>
      </c>
      <c r="H3" s="38">
        <v>20.71</v>
      </c>
      <c r="I3" s="38">
        <v>28.57</v>
      </c>
      <c r="J3" s="38">
        <v>45.56</v>
      </c>
      <c r="K3" s="135"/>
      <c r="L3" s="135"/>
      <c r="M3" s="38">
        <v>8.33</v>
      </c>
      <c r="N3" s="38">
        <v>48.93</v>
      </c>
      <c r="O3" s="38">
        <v>63.64</v>
      </c>
      <c r="P3" s="38">
        <v>10.55</v>
      </c>
      <c r="Q3" s="38">
        <v>18.34</v>
      </c>
      <c r="R3" s="38">
        <v>29.53</v>
      </c>
      <c r="S3" s="38">
        <v>4.2300000000000004</v>
      </c>
      <c r="T3" s="135"/>
      <c r="U3" s="38">
        <v>5.26</v>
      </c>
      <c r="V3" s="38">
        <v>9.35</v>
      </c>
      <c r="W3" s="38">
        <v>1.06</v>
      </c>
      <c r="X3" s="38">
        <v>6.67</v>
      </c>
      <c r="Y3" s="38">
        <v>9.43</v>
      </c>
      <c r="Z3" s="38">
        <v>45.08</v>
      </c>
      <c r="AA3" s="135"/>
      <c r="AB3" s="135"/>
      <c r="AC3" s="38">
        <v>16.100000000000001</v>
      </c>
      <c r="AD3" s="38">
        <v>35.4</v>
      </c>
      <c r="AE3" s="38">
        <v>10.69</v>
      </c>
      <c r="AF3" s="38">
        <v>20.190000000000001</v>
      </c>
      <c r="AG3" s="38">
        <v>13.66</v>
      </c>
      <c r="AH3" s="38">
        <v>34.92</v>
      </c>
      <c r="AI3" s="135"/>
      <c r="AJ3" s="38">
        <v>5.15</v>
      </c>
      <c r="AK3" s="38">
        <v>17.84</v>
      </c>
      <c r="AL3" s="38">
        <v>0</v>
      </c>
      <c r="AM3" s="38">
        <v>62.5</v>
      </c>
      <c r="AN3" s="38">
        <v>23.8</v>
      </c>
      <c r="AO3" s="38">
        <v>7.39</v>
      </c>
      <c r="AP3" s="135"/>
      <c r="AQ3" s="38">
        <v>15.75</v>
      </c>
      <c r="AR3" s="38">
        <v>0</v>
      </c>
    </row>
    <row r="4" spans="1:44" ht="16">
      <c r="A4" s="37">
        <v>1997</v>
      </c>
      <c r="B4" s="38">
        <v>48.99</v>
      </c>
      <c r="C4" s="38">
        <v>49.17</v>
      </c>
      <c r="D4" s="38">
        <v>34.07</v>
      </c>
      <c r="E4" s="38">
        <v>9.89</v>
      </c>
      <c r="F4" s="38">
        <v>27.67</v>
      </c>
      <c r="G4" s="38">
        <v>26.61</v>
      </c>
      <c r="H4" s="38">
        <v>17.57</v>
      </c>
      <c r="I4" s="38">
        <v>25</v>
      </c>
      <c r="J4" s="38">
        <v>43.06</v>
      </c>
      <c r="K4" s="135"/>
      <c r="L4" s="135"/>
      <c r="M4" s="38">
        <v>7.99</v>
      </c>
      <c r="N4" s="38">
        <v>48.47</v>
      </c>
      <c r="O4" s="38">
        <v>44.44</v>
      </c>
      <c r="P4" s="38">
        <v>11.37</v>
      </c>
      <c r="Q4" s="38">
        <v>17.8</v>
      </c>
      <c r="R4" s="38">
        <v>28.51</v>
      </c>
      <c r="S4" s="38">
        <v>4.37</v>
      </c>
      <c r="T4" s="135"/>
      <c r="U4" s="38">
        <v>6.45</v>
      </c>
      <c r="V4" s="38">
        <v>11.79</v>
      </c>
      <c r="W4" s="38">
        <v>1.1499999999999999</v>
      </c>
      <c r="X4" s="38">
        <v>7.79</v>
      </c>
      <c r="Y4" s="38">
        <v>34.78</v>
      </c>
      <c r="Z4" s="38">
        <v>47.53</v>
      </c>
      <c r="AA4" s="135"/>
      <c r="AB4" s="135"/>
      <c r="AC4" s="38">
        <v>15.3</v>
      </c>
      <c r="AD4" s="38">
        <v>32.369999999999997</v>
      </c>
      <c r="AE4" s="38">
        <v>10.44</v>
      </c>
      <c r="AF4" s="38">
        <v>15.74</v>
      </c>
      <c r="AG4" s="38">
        <v>15.35</v>
      </c>
      <c r="AH4" s="38">
        <v>35.049999999999997</v>
      </c>
      <c r="AI4" s="135"/>
      <c r="AJ4" s="38">
        <v>3.74</v>
      </c>
      <c r="AK4" s="38">
        <v>15.83</v>
      </c>
      <c r="AL4" s="38">
        <v>100</v>
      </c>
      <c r="AM4" s="38">
        <v>42.86</v>
      </c>
      <c r="AN4" s="38">
        <v>23.8</v>
      </c>
      <c r="AO4" s="38">
        <v>6.78</v>
      </c>
      <c r="AP4" s="135"/>
      <c r="AQ4" s="38">
        <v>15</v>
      </c>
      <c r="AR4" s="135"/>
    </row>
    <row r="5" spans="1:44" ht="16">
      <c r="A5" s="37">
        <v>1998</v>
      </c>
      <c r="B5" s="38">
        <v>53.43</v>
      </c>
      <c r="C5" s="38">
        <v>52.68</v>
      </c>
      <c r="D5" s="38">
        <v>41.22</v>
      </c>
      <c r="E5" s="38">
        <v>16.57</v>
      </c>
      <c r="F5" s="38">
        <v>27.15</v>
      </c>
      <c r="G5" s="38">
        <v>26.1</v>
      </c>
      <c r="H5" s="38">
        <v>14.97</v>
      </c>
      <c r="I5" s="38">
        <v>20</v>
      </c>
      <c r="J5" s="38">
        <v>42.92</v>
      </c>
      <c r="K5" s="135"/>
      <c r="L5" s="135"/>
      <c r="M5" s="38">
        <v>8.32</v>
      </c>
      <c r="N5" s="38">
        <v>48.65</v>
      </c>
      <c r="O5" s="38">
        <v>64.290000000000006</v>
      </c>
      <c r="P5" s="38">
        <v>8.48</v>
      </c>
      <c r="Q5" s="38">
        <v>12.97</v>
      </c>
      <c r="R5" s="38">
        <v>26.49</v>
      </c>
      <c r="S5" s="38">
        <v>4.26</v>
      </c>
      <c r="T5" s="135"/>
      <c r="U5" s="38">
        <v>20.51</v>
      </c>
      <c r="V5" s="38">
        <v>8.31</v>
      </c>
      <c r="W5" s="38">
        <v>1.08</v>
      </c>
      <c r="X5" s="38">
        <v>10.34</v>
      </c>
      <c r="Y5" s="38">
        <v>10.42</v>
      </c>
      <c r="Z5" s="38">
        <v>45.48</v>
      </c>
      <c r="AA5" s="135"/>
      <c r="AB5" s="135"/>
      <c r="AC5" s="38">
        <v>16.93</v>
      </c>
      <c r="AD5" s="38">
        <v>30.69</v>
      </c>
      <c r="AE5" s="38">
        <v>10.41</v>
      </c>
      <c r="AF5" s="38">
        <v>19.38</v>
      </c>
      <c r="AG5" s="38">
        <v>12.61</v>
      </c>
      <c r="AH5" s="38">
        <v>35.39</v>
      </c>
      <c r="AI5" s="135"/>
      <c r="AJ5" s="38">
        <v>4.3600000000000003</v>
      </c>
      <c r="AK5" s="38">
        <v>15.17</v>
      </c>
      <c r="AL5" s="38">
        <v>0</v>
      </c>
      <c r="AM5" s="38">
        <v>0</v>
      </c>
      <c r="AN5" s="38">
        <v>23.26</v>
      </c>
      <c r="AO5" s="38">
        <v>7.43</v>
      </c>
      <c r="AP5" s="135"/>
      <c r="AQ5" s="38">
        <v>18.14</v>
      </c>
      <c r="AR5" s="135"/>
    </row>
    <row r="6" spans="1:44" ht="16">
      <c r="A6" s="37">
        <v>1999</v>
      </c>
      <c r="B6" s="38">
        <v>52.1</v>
      </c>
      <c r="C6" s="38">
        <v>58.05</v>
      </c>
      <c r="D6" s="38">
        <v>40.340000000000003</v>
      </c>
      <c r="E6" s="38">
        <v>16.239999999999998</v>
      </c>
      <c r="F6" s="38">
        <v>26.41</v>
      </c>
      <c r="G6" s="38">
        <v>27.58</v>
      </c>
      <c r="H6" s="38">
        <v>17.2</v>
      </c>
      <c r="I6" s="38">
        <v>0</v>
      </c>
      <c r="J6" s="38">
        <v>41.56</v>
      </c>
      <c r="K6" s="135"/>
      <c r="L6" s="135"/>
      <c r="M6" s="38">
        <v>8.19</v>
      </c>
      <c r="N6" s="38">
        <v>45.99</v>
      </c>
      <c r="O6" s="38">
        <v>80</v>
      </c>
      <c r="P6" s="38">
        <v>8.16</v>
      </c>
      <c r="Q6" s="38">
        <v>18.329999999999998</v>
      </c>
      <c r="R6" s="38">
        <v>26.1</v>
      </c>
      <c r="S6" s="38">
        <v>4.28</v>
      </c>
      <c r="T6" s="135"/>
      <c r="U6" s="38">
        <v>4.26</v>
      </c>
      <c r="V6" s="38">
        <v>3.09</v>
      </c>
      <c r="W6" s="38">
        <v>1.27</v>
      </c>
      <c r="X6" s="38">
        <v>7.41</v>
      </c>
      <c r="Y6" s="38">
        <v>18.97</v>
      </c>
      <c r="Z6" s="38">
        <v>45.57</v>
      </c>
      <c r="AA6" s="135"/>
      <c r="AB6" s="135"/>
      <c r="AC6" s="38">
        <v>13.75</v>
      </c>
      <c r="AD6" s="38">
        <v>30.26</v>
      </c>
      <c r="AE6" s="38">
        <v>9.9</v>
      </c>
      <c r="AF6" s="38">
        <v>22.3</v>
      </c>
      <c r="AG6" s="38">
        <v>11.03</v>
      </c>
      <c r="AH6" s="38">
        <v>35.6</v>
      </c>
      <c r="AI6" s="135"/>
      <c r="AJ6" s="38">
        <v>3.77</v>
      </c>
      <c r="AK6" s="38">
        <v>13.43</v>
      </c>
      <c r="AL6" s="38">
        <v>25</v>
      </c>
      <c r="AM6" s="38">
        <v>0</v>
      </c>
      <c r="AN6" s="38">
        <v>21.08</v>
      </c>
      <c r="AO6" s="38">
        <v>8.01</v>
      </c>
      <c r="AP6" s="135"/>
      <c r="AQ6" s="38">
        <v>17.91</v>
      </c>
      <c r="AR6" s="135"/>
    </row>
    <row r="7" spans="1:44" ht="16">
      <c r="A7" s="37">
        <v>2000</v>
      </c>
      <c r="B7" s="38">
        <v>49.54</v>
      </c>
      <c r="C7" s="38">
        <v>52.46</v>
      </c>
      <c r="D7" s="38">
        <v>35.659999999999997</v>
      </c>
      <c r="E7" s="38">
        <v>15.14</v>
      </c>
      <c r="F7" s="38">
        <v>25.66</v>
      </c>
      <c r="G7" s="38">
        <v>30.64</v>
      </c>
      <c r="H7" s="38">
        <v>21.33</v>
      </c>
      <c r="I7" s="38">
        <v>10</v>
      </c>
      <c r="J7" s="38">
        <v>48.26</v>
      </c>
      <c r="K7" s="135"/>
      <c r="L7" s="135"/>
      <c r="M7" s="38">
        <v>8.86</v>
      </c>
      <c r="N7" s="38">
        <v>50.65</v>
      </c>
      <c r="O7" s="38">
        <v>66.67</v>
      </c>
      <c r="P7" s="38">
        <v>9.34</v>
      </c>
      <c r="Q7" s="38">
        <v>21.01</v>
      </c>
      <c r="R7" s="38">
        <v>28.1</v>
      </c>
      <c r="S7" s="38">
        <v>3.79</v>
      </c>
      <c r="T7" s="135"/>
      <c r="U7" s="38">
        <v>9.6199999999999992</v>
      </c>
      <c r="V7" s="38">
        <v>2.14</v>
      </c>
      <c r="W7" s="38">
        <v>1.35</v>
      </c>
      <c r="X7" s="38">
        <v>3.61</v>
      </c>
      <c r="Y7" s="38">
        <v>32.35</v>
      </c>
      <c r="Z7" s="38">
        <v>45.75</v>
      </c>
      <c r="AA7" s="135"/>
      <c r="AB7" s="135"/>
      <c r="AC7" s="38">
        <v>14.06</v>
      </c>
      <c r="AD7" s="38">
        <v>32.950000000000003</v>
      </c>
      <c r="AE7" s="38">
        <v>10.08</v>
      </c>
      <c r="AF7" s="38">
        <v>15.67</v>
      </c>
      <c r="AG7" s="38">
        <v>13.56</v>
      </c>
      <c r="AH7" s="38">
        <v>36.44</v>
      </c>
      <c r="AI7" s="135"/>
      <c r="AJ7" s="38">
        <v>4.28</v>
      </c>
      <c r="AK7" s="38">
        <v>11.15</v>
      </c>
      <c r="AL7" s="38">
        <v>66.67</v>
      </c>
      <c r="AM7" s="38">
        <v>0</v>
      </c>
      <c r="AN7" s="38">
        <v>21.48</v>
      </c>
      <c r="AO7" s="38">
        <v>8.8000000000000007</v>
      </c>
      <c r="AP7" s="135"/>
      <c r="AQ7" s="38">
        <v>19.7</v>
      </c>
      <c r="AR7" s="135"/>
    </row>
    <row r="8" spans="1:44" ht="16">
      <c r="A8" s="37">
        <v>2001</v>
      </c>
      <c r="B8" s="38">
        <v>49.91</v>
      </c>
      <c r="C8" s="38">
        <v>67.02</v>
      </c>
      <c r="D8" s="38">
        <v>34.64</v>
      </c>
      <c r="E8" s="38">
        <v>16.82</v>
      </c>
      <c r="F8" s="38">
        <v>24.84</v>
      </c>
      <c r="G8" s="38">
        <v>29.58</v>
      </c>
      <c r="H8" s="38">
        <v>19.29</v>
      </c>
      <c r="I8" s="38">
        <v>50</v>
      </c>
      <c r="J8" s="38">
        <v>48.57</v>
      </c>
      <c r="K8" s="135"/>
      <c r="L8" s="135"/>
      <c r="M8" s="38">
        <v>7.66</v>
      </c>
      <c r="N8" s="38">
        <v>53.92</v>
      </c>
      <c r="O8" s="38">
        <v>57.89</v>
      </c>
      <c r="P8" s="38">
        <v>9.69</v>
      </c>
      <c r="Q8" s="38">
        <v>17.78</v>
      </c>
      <c r="R8" s="38">
        <v>26.06</v>
      </c>
      <c r="S8" s="38">
        <v>4.58</v>
      </c>
      <c r="T8" s="135"/>
      <c r="U8" s="38">
        <v>6.82</v>
      </c>
      <c r="V8" s="38">
        <v>22.06</v>
      </c>
      <c r="W8" s="38">
        <v>1.44</v>
      </c>
      <c r="X8" s="38">
        <v>5.88</v>
      </c>
      <c r="Y8" s="38">
        <v>22.41</v>
      </c>
      <c r="Z8" s="38">
        <v>47.66</v>
      </c>
      <c r="AA8" s="135"/>
      <c r="AB8" s="135"/>
      <c r="AC8" s="38">
        <v>16.22</v>
      </c>
      <c r="AD8" s="38">
        <v>29.65</v>
      </c>
      <c r="AE8" s="38">
        <v>10.34</v>
      </c>
      <c r="AF8" s="38">
        <v>16.38</v>
      </c>
      <c r="AG8" s="38">
        <v>13.52</v>
      </c>
      <c r="AH8" s="38">
        <v>36.880000000000003</v>
      </c>
      <c r="AI8" s="135"/>
      <c r="AJ8" s="38">
        <v>3.41</v>
      </c>
      <c r="AK8" s="38">
        <v>12.89</v>
      </c>
      <c r="AL8" s="38">
        <v>33.33</v>
      </c>
      <c r="AM8" s="135"/>
      <c r="AN8" s="38">
        <v>23.87</v>
      </c>
      <c r="AO8" s="38">
        <v>8.41</v>
      </c>
      <c r="AP8" s="135"/>
      <c r="AQ8" s="38">
        <v>16.62</v>
      </c>
      <c r="AR8" s="135"/>
    </row>
    <row r="9" spans="1:44" ht="16">
      <c r="A9" s="37">
        <v>2002</v>
      </c>
      <c r="B9" s="38">
        <v>50.32</v>
      </c>
      <c r="C9" s="38">
        <v>58.86</v>
      </c>
      <c r="D9" s="38">
        <v>46.45</v>
      </c>
      <c r="E9" s="38">
        <v>13.43</v>
      </c>
      <c r="F9" s="38">
        <v>25.36</v>
      </c>
      <c r="G9" s="38">
        <v>33.94</v>
      </c>
      <c r="H9" s="38">
        <v>20.05</v>
      </c>
      <c r="I9" s="38">
        <v>33.33</v>
      </c>
      <c r="J9" s="38">
        <v>45.33</v>
      </c>
      <c r="K9" s="135"/>
      <c r="L9" s="135"/>
      <c r="M9" s="38">
        <v>8.3000000000000007</v>
      </c>
      <c r="N9" s="38">
        <v>56.48</v>
      </c>
      <c r="O9" s="38">
        <v>60</v>
      </c>
      <c r="P9" s="38">
        <v>10.79</v>
      </c>
      <c r="Q9" s="38">
        <v>20.85</v>
      </c>
      <c r="R9" s="38">
        <v>27.42</v>
      </c>
      <c r="S9" s="38">
        <v>3.81</v>
      </c>
      <c r="T9" s="135"/>
      <c r="U9" s="38">
        <v>4.08</v>
      </c>
      <c r="V9" s="135"/>
      <c r="W9" s="38">
        <v>1.58</v>
      </c>
      <c r="X9" s="38">
        <v>7.96</v>
      </c>
      <c r="Y9" s="38">
        <v>31.11</v>
      </c>
      <c r="Z9" s="38">
        <v>53.03</v>
      </c>
      <c r="AA9" s="135"/>
      <c r="AB9" s="135"/>
      <c r="AC9" s="38">
        <v>18.489999999999998</v>
      </c>
      <c r="AD9" s="38">
        <v>32.799999999999997</v>
      </c>
      <c r="AE9" s="38">
        <v>10.119999999999999</v>
      </c>
      <c r="AF9" s="38">
        <v>21.19</v>
      </c>
      <c r="AG9" s="38">
        <v>14.08</v>
      </c>
      <c r="AH9" s="38">
        <v>36.69</v>
      </c>
      <c r="AI9" s="135"/>
      <c r="AJ9" s="38">
        <v>3.34</v>
      </c>
      <c r="AK9" s="38">
        <v>11.56</v>
      </c>
      <c r="AL9" s="38">
        <v>66.67</v>
      </c>
      <c r="AM9" s="38">
        <v>33.33</v>
      </c>
      <c r="AN9" s="38">
        <v>23.63</v>
      </c>
      <c r="AO9" s="38">
        <v>8.0299999999999994</v>
      </c>
      <c r="AP9" s="135"/>
      <c r="AQ9" s="38">
        <v>20.11</v>
      </c>
      <c r="AR9" s="135"/>
    </row>
    <row r="10" spans="1:44" ht="16">
      <c r="A10" s="37">
        <v>2003</v>
      </c>
      <c r="B10" s="135"/>
      <c r="C10" s="38">
        <v>52.42</v>
      </c>
      <c r="D10" s="38">
        <v>51.97</v>
      </c>
      <c r="E10" s="38">
        <v>14.81</v>
      </c>
      <c r="F10" s="38">
        <v>25.25</v>
      </c>
      <c r="G10" s="38">
        <v>33.229999999999997</v>
      </c>
      <c r="H10" s="38">
        <v>26.9</v>
      </c>
      <c r="I10" s="38">
        <v>25</v>
      </c>
      <c r="J10" s="38">
        <v>49.39</v>
      </c>
      <c r="K10" s="135"/>
      <c r="L10" s="135"/>
      <c r="M10" s="38">
        <v>7.96</v>
      </c>
      <c r="N10" s="38">
        <v>57.54</v>
      </c>
      <c r="O10" s="38">
        <v>54.39</v>
      </c>
      <c r="P10" s="38">
        <v>10.35</v>
      </c>
      <c r="Q10" s="38">
        <v>15.96</v>
      </c>
      <c r="R10" s="38">
        <v>30.05</v>
      </c>
      <c r="S10" s="38">
        <v>3.58</v>
      </c>
      <c r="T10" s="38">
        <v>8</v>
      </c>
      <c r="U10" s="38">
        <v>16.670000000000002</v>
      </c>
      <c r="V10" s="135"/>
      <c r="W10" s="38">
        <v>1.78</v>
      </c>
      <c r="X10" s="38">
        <v>10.26</v>
      </c>
      <c r="Y10" s="38">
        <v>33.869999999999997</v>
      </c>
      <c r="Z10" s="38">
        <v>49.16</v>
      </c>
      <c r="AA10" s="135"/>
      <c r="AB10" s="38">
        <v>0</v>
      </c>
      <c r="AC10" s="38">
        <v>15.91</v>
      </c>
      <c r="AD10" s="38">
        <v>26.86</v>
      </c>
      <c r="AE10" s="38">
        <v>10.55</v>
      </c>
      <c r="AF10" s="38">
        <v>18.59</v>
      </c>
      <c r="AG10" s="38">
        <v>12.56</v>
      </c>
      <c r="AH10" s="38">
        <v>37.840000000000003</v>
      </c>
      <c r="AI10" s="135"/>
      <c r="AJ10" s="38">
        <v>4.88</v>
      </c>
      <c r="AK10" s="38">
        <v>18.36</v>
      </c>
      <c r="AL10" s="135"/>
      <c r="AM10" s="38">
        <v>0</v>
      </c>
      <c r="AN10" s="38">
        <v>30.71</v>
      </c>
      <c r="AO10" s="38">
        <v>8.5299999999999994</v>
      </c>
      <c r="AP10" s="135"/>
      <c r="AQ10" s="38">
        <v>20.11</v>
      </c>
      <c r="AR10" s="135"/>
    </row>
    <row r="11" spans="1:44" ht="16">
      <c r="A11" s="37">
        <v>2004</v>
      </c>
      <c r="B11" s="135"/>
      <c r="C11" s="38">
        <v>52.79</v>
      </c>
      <c r="D11" s="38">
        <v>46.82</v>
      </c>
      <c r="E11" s="38">
        <v>17.27</v>
      </c>
      <c r="F11" s="38">
        <v>25.23</v>
      </c>
      <c r="G11" s="38">
        <v>38.22</v>
      </c>
      <c r="H11" s="38">
        <v>26.32</v>
      </c>
      <c r="I11" s="38">
        <v>37.5</v>
      </c>
      <c r="J11" s="38">
        <v>50</v>
      </c>
      <c r="K11" s="135"/>
      <c r="L11" s="135"/>
      <c r="M11" s="38">
        <v>9.32</v>
      </c>
      <c r="N11" s="38">
        <v>60.51</v>
      </c>
      <c r="O11" s="38">
        <v>46.55</v>
      </c>
      <c r="P11" s="38">
        <v>9.86</v>
      </c>
      <c r="Q11" s="38">
        <v>21.52</v>
      </c>
      <c r="R11" s="38">
        <v>29.8</v>
      </c>
      <c r="S11" s="38">
        <v>3.55</v>
      </c>
      <c r="T11" s="38">
        <v>8.17</v>
      </c>
      <c r="U11" s="38">
        <v>9.26</v>
      </c>
      <c r="V11" s="135"/>
      <c r="W11" s="38">
        <v>1.85</v>
      </c>
      <c r="X11" s="38">
        <v>8.42</v>
      </c>
      <c r="Y11" s="38">
        <v>27.66</v>
      </c>
      <c r="Z11" s="38">
        <v>52.55</v>
      </c>
      <c r="AA11" s="135"/>
      <c r="AB11" s="38">
        <v>50</v>
      </c>
      <c r="AC11" s="38">
        <v>17.43</v>
      </c>
      <c r="AD11" s="38">
        <v>26.9</v>
      </c>
      <c r="AE11" s="38">
        <v>11.02</v>
      </c>
      <c r="AF11" s="38">
        <v>22.07</v>
      </c>
      <c r="AG11" s="38">
        <v>14.36</v>
      </c>
      <c r="AH11" s="38">
        <v>39.979999999999997</v>
      </c>
      <c r="AI11" s="135"/>
      <c r="AJ11" s="38">
        <v>4.8600000000000003</v>
      </c>
      <c r="AK11" s="38">
        <v>14.64</v>
      </c>
      <c r="AL11" s="135"/>
      <c r="AM11" s="38">
        <v>0</v>
      </c>
      <c r="AN11" s="38">
        <v>29.7</v>
      </c>
      <c r="AO11" s="38">
        <v>8.27</v>
      </c>
      <c r="AP11" s="135"/>
      <c r="AQ11" s="38">
        <v>23.09</v>
      </c>
      <c r="AR11" s="135"/>
    </row>
    <row r="12" spans="1:44" ht="16">
      <c r="A12" s="37">
        <v>2005</v>
      </c>
      <c r="B12" s="135"/>
      <c r="C12" s="38">
        <v>53.16</v>
      </c>
      <c r="D12" s="38">
        <v>44.13</v>
      </c>
      <c r="E12" s="38">
        <v>15.46</v>
      </c>
      <c r="F12" s="38">
        <v>27.06</v>
      </c>
      <c r="G12" s="38">
        <v>34.840000000000003</v>
      </c>
      <c r="H12" s="38">
        <v>29.68</v>
      </c>
      <c r="I12" s="38">
        <v>33.33</v>
      </c>
      <c r="J12" s="38">
        <v>55.1</v>
      </c>
      <c r="K12" s="135"/>
      <c r="L12" s="135"/>
      <c r="M12" s="38">
        <v>8.44</v>
      </c>
      <c r="N12" s="38">
        <v>62.68</v>
      </c>
      <c r="O12" s="38">
        <v>49.09</v>
      </c>
      <c r="P12" s="38">
        <v>9.82</v>
      </c>
      <c r="Q12" s="38">
        <v>21.75</v>
      </c>
      <c r="R12" s="38">
        <v>32.979999999999997</v>
      </c>
      <c r="S12" s="38">
        <v>3.62</v>
      </c>
      <c r="T12" s="38">
        <v>10.69</v>
      </c>
      <c r="U12" s="38">
        <v>6.38</v>
      </c>
      <c r="V12" s="135"/>
      <c r="W12" s="38">
        <v>1.71</v>
      </c>
      <c r="X12" s="38">
        <v>13.76</v>
      </c>
      <c r="Y12" s="38">
        <v>35.71</v>
      </c>
      <c r="Z12" s="38">
        <v>54.17</v>
      </c>
      <c r="AA12" s="135"/>
      <c r="AB12" s="135"/>
      <c r="AC12" s="38">
        <v>21.44</v>
      </c>
      <c r="AD12" s="38">
        <v>24.65</v>
      </c>
      <c r="AE12" s="38">
        <v>11.57</v>
      </c>
      <c r="AF12" s="38">
        <v>20.29</v>
      </c>
      <c r="AG12" s="38">
        <v>16.78</v>
      </c>
      <c r="AH12" s="38">
        <v>42.76</v>
      </c>
      <c r="AI12" s="135"/>
      <c r="AJ12" s="38">
        <v>5.56</v>
      </c>
      <c r="AK12" s="38">
        <v>17.059999999999999</v>
      </c>
      <c r="AL12" s="135"/>
      <c r="AM12" s="135"/>
      <c r="AN12" s="38">
        <v>35.53</v>
      </c>
      <c r="AO12" s="38">
        <v>8.64</v>
      </c>
      <c r="AP12" s="135"/>
      <c r="AQ12" s="38">
        <v>23.24</v>
      </c>
      <c r="AR12" s="135"/>
    </row>
    <row r="13" spans="1:44" ht="16">
      <c r="A13" s="37">
        <v>2006</v>
      </c>
      <c r="B13" s="135"/>
      <c r="C13" s="38">
        <v>49.38</v>
      </c>
      <c r="D13" s="38">
        <v>57.21</v>
      </c>
      <c r="E13" s="38">
        <v>14.23</v>
      </c>
      <c r="F13" s="38">
        <v>28.82</v>
      </c>
      <c r="G13" s="38">
        <v>36.82</v>
      </c>
      <c r="H13" s="38">
        <v>27.55</v>
      </c>
      <c r="I13" s="38">
        <v>66.67</v>
      </c>
      <c r="J13" s="38">
        <v>61.04</v>
      </c>
      <c r="K13" s="135"/>
      <c r="L13" s="135"/>
      <c r="M13" s="38">
        <v>9.5399999999999991</v>
      </c>
      <c r="N13" s="38">
        <v>63.26</v>
      </c>
      <c r="O13" s="38">
        <v>45.33</v>
      </c>
      <c r="P13" s="38">
        <v>10.02</v>
      </c>
      <c r="Q13" s="38">
        <v>26.76</v>
      </c>
      <c r="R13" s="38">
        <v>33.270000000000003</v>
      </c>
      <c r="S13" s="38">
        <v>3.54</v>
      </c>
      <c r="T13" s="38">
        <v>10.16</v>
      </c>
      <c r="U13" s="38">
        <v>5</v>
      </c>
      <c r="V13" s="135"/>
      <c r="W13" s="38">
        <v>1.86</v>
      </c>
      <c r="X13" s="38">
        <v>7.14</v>
      </c>
      <c r="Y13" s="38">
        <v>36.36</v>
      </c>
      <c r="Z13" s="38">
        <v>54.95</v>
      </c>
      <c r="AA13" s="135"/>
      <c r="AB13" s="38">
        <v>50</v>
      </c>
      <c r="AC13" s="38">
        <v>21.99</v>
      </c>
      <c r="AD13" s="38">
        <v>28.96</v>
      </c>
      <c r="AE13" s="38">
        <v>12.37</v>
      </c>
      <c r="AF13" s="38">
        <v>21.13</v>
      </c>
      <c r="AG13" s="38">
        <v>13.63</v>
      </c>
      <c r="AH13" s="38">
        <v>43.86</v>
      </c>
      <c r="AI13" s="135"/>
      <c r="AJ13" s="38">
        <v>6.19</v>
      </c>
      <c r="AK13" s="38">
        <v>17.760000000000002</v>
      </c>
      <c r="AL13" s="135"/>
      <c r="AM13" s="38">
        <v>100</v>
      </c>
      <c r="AN13" s="38">
        <v>34.130000000000003</v>
      </c>
      <c r="AO13" s="38">
        <v>8.59</v>
      </c>
      <c r="AP13" s="135"/>
      <c r="AQ13" s="38">
        <v>23.55</v>
      </c>
      <c r="AR13" s="135"/>
    </row>
    <row r="14" spans="1:44" ht="16">
      <c r="A14" s="37">
        <v>2007</v>
      </c>
      <c r="B14" s="135"/>
      <c r="C14" s="38">
        <v>55.01</v>
      </c>
      <c r="D14" s="38">
        <v>50.56</v>
      </c>
      <c r="E14" s="38">
        <v>9.65</v>
      </c>
      <c r="F14" s="38">
        <v>30.42</v>
      </c>
      <c r="G14" s="38">
        <v>34.69</v>
      </c>
      <c r="H14" s="38">
        <v>29.85</v>
      </c>
      <c r="I14" s="38">
        <v>0</v>
      </c>
      <c r="J14" s="38">
        <v>58.8</v>
      </c>
      <c r="K14" s="135"/>
      <c r="L14" s="135"/>
      <c r="M14" s="38">
        <v>8</v>
      </c>
      <c r="N14" s="38">
        <v>64.12</v>
      </c>
      <c r="O14" s="38">
        <v>47.54</v>
      </c>
      <c r="P14" s="38">
        <v>10.66</v>
      </c>
      <c r="Q14" s="38">
        <v>25.52</v>
      </c>
      <c r="R14" s="38">
        <v>34.71</v>
      </c>
      <c r="S14" s="38">
        <v>3.26</v>
      </c>
      <c r="T14" s="38">
        <v>11.23</v>
      </c>
      <c r="U14" s="38">
        <v>12.94</v>
      </c>
      <c r="V14" s="135"/>
      <c r="W14" s="38">
        <v>1.92</v>
      </c>
      <c r="X14" s="38">
        <v>7.79</v>
      </c>
      <c r="Y14" s="38">
        <v>40.380000000000003</v>
      </c>
      <c r="Z14" s="38">
        <v>53.29</v>
      </c>
      <c r="AA14" s="135"/>
      <c r="AB14" s="135"/>
      <c r="AC14" s="38">
        <v>20.04</v>
      </c>
      <c r="AD14" s="38">
        <v>29.15</v>
      </c>
      <c r="AE14" s="38">
        <v>12.61</v>
      </c>
      <c r="AF14" s="38">
        <v>25.23</v>
      </c>
      <c r="AG14" s="38">
        <v>16.47</v>
      </c>
      <c r="AH14" s="38">
        <v>44.68</v>
      </c>
      <c r="AI14" s="135"/>
      <c r="AJ14" s="38">
        <v>5.82</v>
      </c>
      <c r="AK14" s="38">
        <v>17.97</v>
      </c>
      <c r="AL14" s="135"/>
      <c r="AM14" s="38">
        <v>0</v>
      </c>
      <c r="AN14" s="38">
        <v>36.15</v>
      </c>
      <c r="AO14" s="38">
        <v>7.87</v>
      </c>
      <c r="AP14" s="135"/>
      <c r="AQ14" s="38">
        <v>24.63</v>
      </c>
      <c r="AR14" s="135"/>
    </row>
    <row r="15" spans="1:44" ht="16">
      <c r="A15" s="37">
        <v>2008</v>
      </c>
      <c r="B15" s="135"/>
      <c r="C15" s="38">
        <v>53.69</v>
      </c>
      <c r="D15" s="38">
        <v>46.23</v>
      </c>
      <c r="E15" s="38">
        <v>23.02</v>
      </c>
      <c r="F15" s="38">
        <v>30.62</v>
      </c>
      <c r="G15" s="38">
        <v>30.54</v>
      </c>
      <c r="H15" s="38">
        <v>26.18</v>
      </c>
      <c r="I15" s="38">
        <v>42.86</v>
      </c>
      <c r="J15" s="38">
        <v>60.32</v>
      </c>
      <c r="K15" s="135"/>
      <c r="L15" s="135"/>
      <c r="M15" s="38">
        <v>7.89</v>
      </c>
      <c r="N15" s="38">
        <v>60.63</v>
      </c>
      <c r="O15" s="38">
        <v>47.27</v>
      </c>
      <c r="P15" s="38">
        <v>9.7799999999999994</v>
      </c>
      <c r="Q15" s="38">
        <v>29.1</v>
      </c>
      <c r="R15" s="38">
        <v>34.9</v>
      </c>
      <c r="S15" s="38">
        <v>3.3</v>
      </c>
      <c r="T15" s="38">
        <v>10.73</v>
      </c>
      <c r="U15" s="38">
        <v>17.05</v>
      </c>
      <c r="V15" s="135"/>
      <c r="W15" s="38">
        <v>1.93</v>
      </c>
      <c r="X15" s="38">
        <v>6.58</v>
      </c>
      <c r="Y15" s="38">
        <v>32.81</v>
      </c>
      <c r="Z15" s="38">
        <v>50.77</v>
      </c>
      <c r="AA15" s="135"/>
      <c r="AB15" s="38">
        <v>100</v>
      </c>
      <c r="AC15" s="38">
        <v>22.42</v>
      </c>
      <c r="AD15" s="38">
        <v>22.75</v>
      </c>
      <c r="AE15" s="38">
        <v>12.43</v>
      </c>
      <c r="AF15" s="38">
        <v>25.44</v>
      </c>
      <c r="AG15" s="38">
        <v>14.97</v>
      </c>
      <c r="AH15" s="38">
        <v>43.81</v>
      </c>
      <c r="AI15" s="135"/>
      <c r="AJ15" s="38">
        <v>5.74</v>
      </c>
      <c r="AK15" s="38">
        <v>16.670000000000002</v>
      </c>
      <c r="AL15" s="135"/>
      <c r="AM15" s="38">
        <v>0</v>
      </c>
      <c r="AN15" s="38">
        <v>35.770000000000003</v>
      </c>
      <c r="AO15" s="38">
        <v>9.65</v>
      </c>
      <c r="AP15" s="135"/>
      <c r="AQ15" s="38">
        <v>23.26</v>
      </c>
      <c r="AR15" s="135"/>
    </row>
    <row r="16" spans="1:44" ht="16">
      <c r="A16" s="37">
        <v>2009</v>
      </c>
      <c r="B16" s="135"/>
      <c r="C16" s="38">
        <v>52.03</v>
      </c>
      <c r="D16" s="38">
        <v>41.51</v>
      </c>
      <c r="E16" s="38">
        <v>19.52</v>
      </c>
      <c r="F16" s="38">
        <v>28.94</v>
      </c>
      <c r="G16" s="38">
        <v>27.7</v>
      </c>
      <c r="H16" s="38">
        <v>28.71</v>
      </c>
      <c r="I16" s="38">
        <v>0</v>
      </c>
      <c r="J16" s="38">
        <v>53.18</v>
      </c>
      <c r="K16" s="135"/>
      <c r="L16" s="135"/>
      <c r="M16" s="38">
        <v>7.33</v>
      </c>
      <c r="N16" s="38">
        <v>57.33</v>
      </c>
      <c r="O16" s="38">
        <v>45.76</v>
      </c>
      <c r="P16" s="38">
        <v>10.23</v>
      </c>
      <c r="Q16" s="38">
        <v>22.82</v>
      </c>
      <c r="R16" s="38">
        <v>32.380000000000003</v>
      </c>
      <c r="S16" s="38">
        <v>3.11</v>
      </c>
      <c r="T16" s="38">
        <v>12.11</v>
      </c>
      <c r="U16" s="38">
        <v>17.53</v>
      </c>
      <c r="V16" s="135"/>
      <c r="W16" s="38">
        <v>1.96</v>
      </c>
      <c r="X16" s="38">
        <v>7.46</v>
      </c>
      <c r="Y16" s="38">
        <v>22.86</v>
      </c>
      <c r="Z16" s="38">
        <v>48.67</v>
      </c>
      <c r="AA16" s="135"/>
      <c r="AB16" s="38">
        <v>50</v>
      </c>
      <c r="AC16" s="38">
        <v>19.32</v>
      </c>
      <c r="AD16" s="38">
        <v>26.11</v>
      </c>
      <c r="AE16" s="38">
        <v>11.83</v>
      </c>
      <c r="AF16" s="38">
        <v>22.46</v>
      </c>
      <c r="AG16" s="38">
        <v>17.32</v>
      </c>
      <c r="AH16" s="38">
        <v>42.41</v>
      </c>
      <c r="AI16" s="135"/>
      <c r="AJ16" s="38">
        <v>6.29</v>
      </c>
      <c r="AK16" s="38">
        <v>20.100000000000001</v>
      </c>
      <c r="AL16" s="135"/>
      <c r="AM16" s="38">
        <v>0</v>
      </c>
      <c r="AN16" s="38">
        <v>36.520000000000003</v>
      </c>
      <c r="AO16" s="38">
        <v>10.9</v>
      </c>
      <c r="AP16" s="135"/>
      <c r="AQ16" s="38">
        <v>23.77</v>
      </c>
      <c r="AR16" s="135"/>
    </row>
    <row r="17" spans="1:44" ht="16">
      <c r="A17" s="37">
        <v>2010</v>
      </c>
      <c r="B17" s="135"/>
      <c r="C17" s="38">
        <v>47.74</v>
      </c>
      <c r="D17" s="38">
        <v>41.43</v>
      </c>
      <c r="E17" s="38">
        <v>18.079999999999998</v>
      </c>
      <c r="F17" s="38">
        <v>28.07</v>
      </c>
      <c r="G17" s="38">
        <v>26.14</v>
      </c>
      <c r="H17" s="38">
        <v>22.63</v>
      </c>
      <c r="I17" s="38">
        <v>33.33</v>
      </c>
      <c r="J17" s="38">
        <v>48.94</v>
      </c>
      <c r="K17" s="135"/>
      <c r="L17" s="135"/>
      <c r="M17" s="38">
        <v>6.78</v>
      </c>
      <c r="N17" s="38">
        <v>55.63</v>
      </c>
      <c r="O17" s="38">
        <v>37.31</v>
      </c>
      <c r="P17" s="38">
        <v>9.2100000000000009</v>
      </c>
      <c r="Q17" s="38">
        <v>24.66</v>
      </c>
      <c r="R17" s="38">
        <v>33.15</v>
      </c>
      <c r="S17" s="38">
        <v>3.14</v>
      </c>
      <c r="T17" s="38">
        <v>11.35</v>
      </c>
      <c r="U17" s="38">
        <v>18.87</v>
      </c>
      <c r="V17" s="135"/>
      <c r="W17" s="38">
        <v>2.1800000000000002</v>
      </c>
      <c r="X17" s="38">
        <v>10.42</v>
      </c>
      <c r="Y17" s="38">
        <v>26.56</v>
      </c>
      <c r="Z17" s="38">
        <v>45.97</v>
      </c>
      <c r="AA17" s="135"/>
      <c r="AB17" s="135"/>
      <c r="AC17" s="38">
        <v>20.29</v>
      </c>
      <c r="AD17" s="38">
        <v>25.67</v>
      </c>
      <c r="AE17" s="38">
        <v>11.36</v>
      </c>
      <c r="AF17" s="38">
        <v>19.55</v>
      </c>
      <c r="AG17" s="38">
        <v>15.41</v>
      </c>
      <c r="AH17" s="38">
        <v>41.34</v>
      </c>
      <c r="AI17" s="135"/>
      <c r="AJ17" s="38">
        <v>6.52</v>
      </c>
      <c r="AK17" s="38">
        <v>21.71</v>
      </c>
      <c r="AL17" s="135"/>
      <c r="AM17" s="38">
        <v>0</v>
      </c>
      <c r="AN17" s="38">
        <v>33.08</v>
      </c>
      <c r="AO17" s="38">
        <v>15.02</v>
      </c>
      <c r="AP17" s="135"/>
      <c r="AQ17" s="38">
        <v>21.58</v>
      </c>
      <c r="AR17" s="135"/>
    </row>
    <row r="18" spans="1:44" ht="16">
      <c r="A18" s="37">
        <v>2011</v>
      </c>
      <c r="B18" s="135"/>
      <c r="C18" s="38">
        <v>51.59</v>
      </c>
      <c r="D18" s="38">
        <v>36.590000000000003</v>
      </c>
      <c r="E18" s="38">
        <v>15.88</v>
      </c>
      <c r="F18" s="38">
        <v>27.15</v>
      </c>
      <c r="G18" s="38">
        <v>26.11</v>
      </c>
      <c r="H18" s="38">
        <v>25.3</v>
      </c>
      <c r="I18" s="38">
        <v>100</v>
      </c>
      <c r="J18" s="38">
        <v>49.78</v>
      </c>
      <c r="K18" s="135"/>
      <c r="L18" s="135"/>
      <c r="M18" s="38">
        <v>6.65</v>
      </c>
      <c r="N18" s="38">
        <v>56.23</v>
      </c>
      <c r="O18" s="38">
        <v>33.93</v>
      </c>
      <c r="P18" s="38">
        <v>8.4600000000000009</v>
      </c>
      <c r="Q18" s="38">
        <v>25.31</v>
      </c>
      <c r="R18" s="38">
        <v>32.97</v>
      </c>
      <c r="S18" s="38">
        <v>3.17</v>
      </c>
      <c r="T18" s="38">
        <v>12.35</v>
      </c>
      <c r="U18" s="38">
        <v>12.21</v>
      </c>
      <c r="V18" s="135"/>
      <c r="W18" s="38">
        <v>2.4</v>
      </c>
      <c r="X18" s="38">
        <v>11.58</v>
      </c>
      <c r="Y18" s="38">
        <v>42</v>
      </c>
      <c r="Z18" s="38">
        <v>46.54</v>
      </c>
      <c r="AA18" s="135"/>
      <c r="AB18" s="38">
        <v>16.670000000000002</v>
      </c>
      <c r="AC18" s="38">
        <v>20.149999999999999</v>
      </c>
      <c r="AD18" s="38">
        <v>27.47</v>
      </c>
      <c r="AE18" s="38">
        <v>11.5</v>
      </c>
      <c r="AF18" s="38">
        <v>24.12</v>
      </c>
      <c r="AG18" s="38">
        <v>18.170000000000002</v>
      </c>
      <c r="AH18" s="38">
        <v>40.619999999999997</v>
      </c>
      <c r="AI18" s="135"/>
      <c r="AJ18" s="38">
        <v>5.82</v>
      </c>
      <c r="AK18" s="38">
        <v>16.8</v>
      </c>
      <c r="AL18" s="135"/>
      <c r="AM18" s="38">
        <v>0</v>
      </c>
      <c r="AN18" s="38">
        <v>32.31</v>
      </c>
      <c r="AO18" s="38">
        <v>14.38</v>
      </c>
      <c r="AP18" s="135"/>
      <c r="AQ18" s="38">
        <v>23.03</v>
      </c>
      <c r="AR18" s="135"/>
    </row>
    <row r="19" spans="1:44" ht="16">
      <c r="A19" s="37">
        <v>2012</v>
      </c>
      <c r="B19" s="135"/>
      <c r="C19" s="38">
        <v>53.61</v>
      </c>
      <c r="D19" s="38">
        <v>41.18</v>
      </c>
      <c r="E19" s="38">
        <v>17.920000000000002</v>
      </c>
      <c r="F19" s="38">
        <v>26.96</v>
      </c>
      <c r="G19" s="38">
        <v>23.85</v>
      </c>
      <c r="H19" s="38">
        <v>20.6</v>
      </c>
      <c r="I19" s="38">
        <v>0</v>
      </c>
      <c r="J19" s="38">
        <v>51.17</v>
      </c>
      <c r="K19" s="135"/>
      <c r="L19" s="135"/>
      <c r="M19" s="38">
        <v>5.3</v>
      </c>
      <c r="N19" s="38">
        <v>55.77</v>
      </c>
      <c r="O19" s="38">
        <v>29.85</v>
      </c>
      <c r="P19" s="38">
        <v>9.57</v>
      </c>
      <c r="Q19" s="38">
        <v>21.54</v>
      </c>
      <c r="R19" s="38">
        <v>29.42</v>
      </c>
      <c r="S19" s="38">
        <v>3.31</v>
      </c>
      <c r="T19" s="38">
        <v>13.01</v>
      </c>
      <c r="U19" s="38">
        <v>16.239999999999998</v>
      </c>
      <c r="V19" s="135"/>
      <c r="W19" s="38">
        <v>2.06</v>
      </c>
      <c r="X19" s="38">
        <v>9.68</v>
      </c>
      <c r="Y19" s="38">
        <v>33.33</v>
      </c>
      <c r="Z19" s="38">
        <v>48.92</v>
      </c>
      <c r="AA19" s="135"/>
      <c r="AB19" s="135"/>
      <c r="AC19" s="38">
        <v>19.940000000000001</v>
      </c>
      <c r="AD19" s="38">
        <v>25.94</v>
      </c>
      <c r="AE19" s="38">
        <v>11.33</v>
      </c>
      <c r="AF19" s="38">
        <v>22.57</v>
      </c>
      <c r="AG19" s="38">
        <v>16.71</v>
      </c>
      <c r="AH19" s="38">
        <v>39.950000000000003</v>
      </c>
      <c r="AI19" s="135"/>
      <c r="AJ19" s="38">
        <v>5.43</v>
      </c>
      <c r="AK19" s="38">
        <v>16.260000000000002</v>
      </c>
      <c r="AL19" s="135"/>
      <c r="AM19" s="38">
        <v>0</v>
      </c>
      <c r="AN19" s="38">
        <v>32.24</v>
      </c>
      <c r="AO19" s="38">
        <v>13.32</v>
      </c>
      <c r="AP19" s="135"/>
      <c r="AQ19" s="38">
        <v>25.12</v>
      </c>
      <c r="AR19" s="135"/>
    </row>
    <row r="20" spans="1:44" ht="16">
      <c r="A20" s="37">
        <v>2013</v>
      </c>
      <c r="B20" s="135"/>
      <c r="C20" s="38">
        <v>49.69</v>
      </c>
      <c r="D20" s="38">
        <v>36.44</v>
      </c>
      <c r="E20" s="38">
        <v>11.46</v>
      </c>
      <c r="F20" s="38">
        <v>26.99</v>
      </c>
      <c r="G20" s="38">
        <v>22.59</v>
      </c>
      <c r="H20" s="38">
        <v>22.39</v>
      </c>
      <c r="I20" s="135"/>
      <c r="J20" s="38">
        <v>51.94</v>
      </c>
      <c r="K20" s="135"/>
      <c r="L20" s="135"/>
      <c r="M20" s="38">
        <v>5.85</v>
      </c>
      <c r="N20" s="38">
        <v>56.65</v>
      </c>
      <c r="O20" s="38">
        <v>48.65</v>
      </c>
      <c r="P20" s="38">
        <v>7.99</v>
      </c>
      <c r="Q20" s="38">
        <v>24.22</v>
      </c>
      <c r="R20" s="38">
        <v>31.45</v>
      </c>
      <c r="S20" s="38">
        <v>3.2</v>
      </c>
      <c r="T20" s="38">
        <v>11.23</v>
      </c>
      <c r="U20" s="38">
        <v>14.97</v>
      </c>
      <c r="V20" s="135"/>
      <c r="W20" s="38">
        <v>2.08</v>
      </c>
      <c r="X20" s="38">
        <v>10.199999999999999</v>
      </c>
      <c r="Y20" s="38">
        <v>32</v>
      </c>
      <c r="Z20" s="38">
        <v>49.92</v>
      </c>
      <c r="AA20" s="135"/>
      <c r="AB20" s="135"/>
      <c r="AC20" s="38">
        <v>22.1</v>
      </c>
      <c r="AD20" s="38">
        <v>25.08</v>
      </c>
      <c r="AE20" s="38">
        <v>11.49</v>
      </c>
      <c r="AF20" s="38">
        <v>18.98</v>
      </c>
      <c r="AG20" s="38">
        <v>17.510000000000002</v>
      </c>
      <c r="AH20" s="38">
        <v>39.75</v>
      </c>
      <c r="AI20" s="135"/>
      <c r="AJ20" s="38">
        <v>5.39</v>
      </c>
      <c r="AK20" s="38">
        <v>17.82</v>
      </c>
      <c r="AL20" s="135"/>
      <c r="AM20" s="38">
        <v>0</v>
      </c>
      <c r="AN20" s="38">
        <v>30.78</v>
      </c>
      <c r="AO20" s="38">
        <v>16.010000000000002</v>
      </c>
      <c r="AP20" s="38">
        <v>0</v>
      </c>
      <c r="AQ20" s="38">
        <v>24.59</v>
      </c>
      <c r="AR20" s="135"/>
    </row>
    <row r="21" spans="1:44" ht="16">
      <c r="A21" s="37">
        <v>2014</v>
      </c>
      <c r="B21" s="135"/>
      <c r="C21" s="38">
        <v>50.79</v>
      </c>
      <c r="D21" s="38">
        <v>45.34</v>
      </c>
      <c r="E21" s="38">
        <v>15.34</v>
      </c>
      <c r="F21" s="38">
        <v>27.29</v>
      </c>
      <c r="G21" s="38">
        <v>21.59</v>
      </c>
      <c r="H21" s="38">
        <v>22.75</v>
      </c>
      <c r="I21" s="38">
        <v>0</v>
      </c>
      <c r="J21" s="38">
        <v>53.44</v>
      </c>
      <c r="K21" s="135"/>
      <c r="L21" s="135"/>
      <c r="M21" s="38">
        <v>5.4</v>
      </c>
      <c r="N21" s="38">
        <v>56.07</v>
      </c>
      <c r="O21" s="38">
        <v>50</v>
      </c>
      <c r="P21" s="38">
        <v>8.74</v>
      </c>
      <c r="Q21" s="38">
        <v>21.49</v>
      </c>
      <c r="R21" s="38">
        <v>27.08</v>
      </c>
      <c r="S21" s="38">
        <v>3.13</v>
      </c>
      <c r="T21" s="38">
        <v>12.81</v>
      </c>
      <c r="U21" s="38">
        <v>5.92</v>
      </c>
      <c r="V21" s="135"/>
      <c r="W21" s="38">
        <v>2.66</v>
      </c>
      <c r="X21" s="38">
        <v>5.56</v>
      </c>
      <c r="Y21" s="38">
        <v>28.85</v>
      </c>
      <c r="Z21" s="38">
        <v>48.91</v>
      </c>
      <c r="AA21" s="135"/>
      <c r="AB21" s="135"/>
      <c r="AC21" s="38">
        <v>21.43</v>
      </c>
      <c r="AD21" s="38">
        <v>24.7</v>
      </c>
      <c r="AE21" s="38">
        <v>11.84</v>
      </c>
      <c r="AF21" s="38">
        <v>17.98</v>
      </c>
      <c r="AG21" s="38">
        <v>14.31</v>
      </c>
      <c r="AH21" s="38">
        <v>41.35</v>
      </c>
      <c r="AI21" s="135"/>
      <c r="AJ21" s="38">
        <v>5.18</v>
      </c>
      <c r="AK21" s="38">
        <v>13.49</v>
      </c>
      <c r="AL21" s="135"/>
      <c r="AM21" s="38">
        <v>0</v>
      </c>
      <c r="AN21" s="38">
        <v>31.39</v>
      </c>
      <c r="AO21" s="38">
        <v>14.22</v>
      </c>
      <c r="AP21" s="38">
        <v>0</v>
      </c>
      <c r="AQ21" s="38">
        <v>23.28</v>
      </c>
      <c r="AR21" s="135"/>
    </row>
    <row r="22" spans="1:44" ht="16">
      <c r="A22" s="37">
        <v>2015</v>
      </c>
      <c r="B22" s="135"/>
      <c r="C22" s="38">
        <v>48.35</v>
      </c>
      <c r="D22" s="38">
        <v>41.18</v>
      </c>
      <c r="E22" s="38">
        <v>14.16</v>
      </c>
      <c r="F22" s="38">
        <v>27.42</v>
      </c>
      <c r="G22" s="38">
        <v>20.34</v>
      </c>
      <c r="H22" s="38">
        <v>22.67</v>
      </c>
      <c r="I22" s="135"/>
      <c r="J22" s="38">
        <v>54.34</v>
      </c>
      <c r="K22" s="135"/>
      <c r="L22" s="135"/>
      <c r="M22" s="38">
        <v>5.37</v>
      </c>
      <c r="N22" s="38">
        <v>55.65</v>
      </c>
      <c r="O22" s="38">
        <v>43.09</v>
      </c>
      <c r="P22" s="38">
        <v>8.24</v>
      </c>
      <c r="Q22" s="38">
        <v>22.39</v>
      </c>
      <c r="R22" s="38">
        <v>29.21</v>
      </c>
      <c r="S22" s="38">
        <v>3.34</v>
      </c>
      <c r="T22" s="38">
        <v>10.56</v>
      </c>
      <c r="U22" s="38">
        <v>10.88</v>
      </c>
      <c r="V22" s="135"/>
      <c r="W22" s="38">
        <v>2.77</v>
      </c>
      <c r="X22" s="38">
        <v>8.33</v>
      </c>
      <c r="Y22" s="38">
        <v>15.91</v>
      </c>
      <c r="Z22" s="38">
        <v>50</v>
      </c>
      <c r="AA22" s="135"/>
      <c r="AB22" s="135"/>
      <c r="AC22" s="38">
        <v>22.02</v>
      </c>
      <c r="AD22" s="38">
        <v>24.93</v>
      </c>
      <c r="AE22" s="38">
        <v>11.87</v>
      </c>
      <c r="AF22" s="38">
        <v>22.19</v>
      </c>
      <c r="AG22" s="38">
        <v>11.94</v>
      </c>
      <c r="AH22" s="38">
        <v>39.14</v>
      </c>
      <c r="AI22" s="135"/>
      <c r="AJ22" s="38">
        <v>5.26</v>
      </c>
      <c r="AK22" s="38">
        <v>13.83</v>
      </c>
      <c r="AL22" s="135"/>
      <c r="AM22" s="38">
        <v>25</v>
      </c>
      <c r="AN22" s="38">
        <v>30.44</v>
      </c>
      <c r="AO22" s="38">
        <v>13.67</v>
      </c>
      <c r="AP22" s="38">
        <v>20</v>
      </c>
      <c r="AQ22" s="38">
        <v>22.14</v>
      </c>
      <c r="AR22" s="135"/>
    </row>
    <row r="23" spans="1:44" ht="16">
      <c r="A23" s="37">
        <v>2016</v>
      </c>
      <c r="B23" s="135"/>
      <c r="C23" s="38">
        <v>50.94</v>
      </c>
      <c r="D23" s="38">
        <v>38.369999999999997</v>
      </c>
      <c r="E23" s="38">
        <v>13.97</v>
      </c>
      <c r="F23" s="38">
        <v>26.47</v>
      </c>
      <c r="G23" s="38">
        <v>20.04</v>
      </c>
      <c r="H23" s="38">
        <v>27.19</v>
      </c>
      <c r="I23" s="38">
        <v>50</v>
      </c>
      <c r="J23" s="38">
        <v>56.32</v>
      </c>
      <c r="K23" s="135"/>
      <c r="L23" s="135"/>
      <c r="M23" s="38">
        <v>5.76</v>
      </c>
      <c r="N23" s="38">
        <v>55.63</v>
      </c>
      <c r="O23" s="38">
        <v>41.35</v>
      </c>
      <c r="P23" s="38">
        <v>8.3800000000000008</v>
      </c>
      <c r="Q23" s="38">
        <v>23.8</v>
      </c>
      <c r="R23" s="38">
        <v>31.54</v>
      </c>
      <c r="S23" s="38">
        <v>3.21</v>
      </c>
      <c r="T23" s="38">
        <v>10.72</v>
      </c>
      <c r="U23" s="38">
        <v>12.2</v>
      </c>
      <c r="V23" s="135"/>
      <c r="W23" s="38">
        <v>2.93</v>
      </c>
      <c r="X23" s="38">
        <v>8.57</v>
      </c>
      <c r="Y23" s="38">
        <v>24.07</v>
      </c>
      <c r="Z23" s="38">
        <v>47.05</v>
      </c>
      <c r="AA23" s="135"/>
      <c r="AB23" s="135"/>
      <c r="AC23" s="38">
        <v>21.29</v>
      </c>
      <c r="AD23" s="38">
        <v>23.47</v>
      </c>
      <c r="AE23" s="38">
        <v>11.96</v>
      </c>
      <c r="AF23" s="38">
        <v>21.45</v>
      </c>
      <c r="AG23" s="38">
        <v>12.27</v>
      </c>
      <c r="AH23" s="38">
        <v>39.53</v>
      </c>
      <c r="AI23" s="135"/>
      <c r="AJ23" s="38">
        <v>4.78</v>
      </c>
      <c r="AK23" s="38">
        <v>13.56</v>
      </c>
      <c r="AL23" s="135"/>
      <c r="AM23" s="38">
        <v>0</v>
      </c>
      <c r="AN23" s="38">
        <v>32.159999999999997</v>
      </c>
      <c r="AO23" s="38">
        <v>16.23</v>
      </c>
      <c r="AP23" s="38">
        <v>37.5</v>
      </c>
      <c r="AQ23" s="38">
        <v>20.95</v>
      </c>
      <c r="AR23" s="135"/>
    </row>
    <row r="24" spans="1:44" ht="16">
      <c r="A24" s="37">
        <v>2017</v>
      </c>
      <c r="B24" s="135"/>
      <c r="C24" s="38">
        <v>52.31</v>
      </c>
      <c r="D24" s="38">
        <v>41.24</v>
      </c>
      <c r="E24" s="38">
        <v>16.13</v>
      </c>
      <c r="F24" s="38">
        <v>25.56</v>
      </c>
      <c r="G24" s="38">
        <v>20.64</v>
      </c>
      <c r="H24" s="38">
        <v>21.14</v>
      </c>
      <c r="I24" s="135"/>
      <c r="J24" s="38">
        <v>54.65</v>
      </c>
      <c r="K24" s="135"/>
      <c r="L24" s="135"/>
      <c r="M24" s="38">
        <v>5.53</v>
      </c>
      <c r="N24" s="38">
        <v>56.78</v>
      </c>
      <c r="O24" s="38">
        <v>37.5</v>
      </c>
      <c r="P24" s="38">
        <v>8.16</v>
      </c>
      <c r="Q24" s="38">
        <v>22.08</v>
      </c>
      <c r="R24" s="38">
        <v>30.98</v>
      </c>
      <c r="S24" s="38">
        <v>3.33</v>
      </c>
      <c r="T24" s="38">
        <v>11.18</v>
      </c>
      <c r="U24" s="38">
        <v>11.86</v>
      </c>
      <c r="V24" s="135"/>
      <c r="W24" s="38">
        <v>3.42</v>
      </c>
      <c r="X24" s="38">
        <v>5.26</v>
      </c>
      <c r="Y24" s="38">
        <v>23.81</v>
      </c>
      <c r="Z24" s="38">
        <v>48.91</v>
      </c>
      <c r="AA24" s="135"/>
      <c r="AB24" s="135"/>
      <c r="AC24" s="38">
        <v>23.54</v>
      </c>
      <c r="AD24" s="38">
        <v>27.1</v>
      </c>
      <c r="AE24" s="38">
        <v>12.08</v>
      </c>
      <c r="AF24" s="38">
        <v>20.69</v>
      </c>
      <c r="AG24" s="38">
        <v>14.84</v>
      </c>
      <c r="AH24" s="38">
        <v>38.909999999999997</v>
      </c>
      <c r="AI24" s="135"/>
      <c r="AJ24" s="38">
        <v>5.53</v>
      </c>
      <c r="AK24" s="38">
        <v>13.47</v>
      </c>
      <c r="AL24" s="135"/>
      <c r="AM24" s="38">
        <v>0</v>
      </c>
      <c r="AN24" s="38">
        <v>32.21</v>
      </c>
      <c r="AO24" s="38">
        <v>12.76</v>
      </c>
      <c r="AP24" s="38">
        <v>36.36</v>
      </c>
      <c r="AQ24" s="38">
        <v>22.77</v>
      </c>
      <c r="AR24" s="135"/>
    </row>
    <row r="25" spans="1:44" ht="16">
      <c r="A25" s="37">
        <v>2018</v>
      </c>
      <c r="B25" s="135"/>
      <c r="C25" s="38">
        <v>51.58</v>
      </c>
      <c r="D25" s="38">
        <v>42.8</v>
      </c>
      <c r="E25" s="38">
        <v>14.32</v>
      </c>
      <c r="F25" s="38">
        <v>25.05</v>
      </c>
      <c r="G25" s="38">
        <v>20.100000000000001</v>
      </c>
      <c r="H25" s="38">
        <v>27.63</v>
      </c>
      <c r="I25" s="135"/>
      <c r="J25" s="38">
        <v>57.28</v>
      </c>
      <c r="K25" s="135"/>
      <c r="L25" s="135"/>
      <c r="M25" s="38">
        <v>5.8</v>
      </c>
      <c r="N25" s="38">
        <v>57.78</v>
      </c>
      <c r="O25" s="38">
        <v>26.89</v>
      </c>
      <c r="P25" s="38">
        <v>8.7799999999999994</v>
      </c>
      <c r="Q25" s="38">
        <v>25.91</v>
      </c>
      <c r="R25" s="38">
        <v>33.04</v>
      </c>
      <c r="S25" s="38">
        <v>3.41</v>
      </c>
      <c r="T25" s="38">
        <v>11.97</v>
      </c>
      <c r="U25" s="38">
        <v>11.33</v>
      </c>
      <c r="V25" s="135"/>
      <c r="W25" s="38">
        <v>3.75</v>
      </c>
      <c r="X25" s="38">
        <v>12.9</v>
      </c>
      <c r="Y25" s="38">
        <v>25.93</v>
      </c>
      <c r="Z25" s="38">
        <v>49.78</v>
      </c>
      <c r="AA25" s="135"/>
      <c r="AB25" s="135"/>
      <c r="AC25" s="38">
        <v>22.44</v>
      </c>
      <c r="AD25" s="38">
        <v>22.94</v>
      </c>
      <c r="AE25" s="38">
        <v>12.45</v>
      </c>
      <c r="AF25" s="38">
        <v>20.81</v>
      </c>
      <c r="AG25" s="38">
        <v>15.52</v>
      </c>
      <c r="AH25" s="38">
        <v>39.39</v>
      </c>
      <c r="AI25" s="135"/>
      <c r="AJ25" s="38">
        <v>5.55</v>
      </c>
      <c r="AK25" s="38">
        <v>15.7</v>
      </c>
      <c r="AL25" s="135"/>
      <c r="AM25" s="38">
        <v>0</v>
      </c>
      <c r="AN25" s="38">
        <v>33.36</v>
      </c>
      <c r="AO25" s="38">
        <v>14.42</v>
      </c>
      <c r="AP25" s="38">
        <v>31.25</v>
      </c>
      <c r="AQ25" s="38">
        <v>25.41</v>
      </c>
      <c r="AR25" s="135"/>
    </row>
    <row r="26" spans="1:44" ht="16">
      <c r="A26" s="37">
        <v>2019</v>
      </c>
      <c r="B26" s="135"/>
      <c r="C26" s="38">
        <v>50.84</v>
      </c>
      <c r="D26" s="38">
        <v>43.53</v>
      </c>
      <c r="E26" s="38">
        <v>22.7</v>
      </c>
      <c r="F26" s="38">
        <v>24.53</v>
      </c>
      <c r="G26" s="38">
        <v>21.25</v>
      </c>
      <c r="H26" s="38">
        <v>30.19</v>
      </c>
      <c r="I26" s="135"/>
      <c r="J26" s="38">
        <v>57.51</v>
      </c>
      <c r="K26" s="135"/>
      <c r="L26" s="135"/>
      <c r="M26" s="38">
        <v>6.08</v>
      </c>
      <c r="N26" s="38">
        <v>58.56</v>
      </c>
      <c r="O26" s="38">
        <v>30.23</v>
      </c>
      <c r="P26" s="38">
        <v>10.15</v>
      </c>
      <c r="Q26" s="38">
        <v>27.72</v>
      </c>
      <c r="R26" s="38">
        <v>36.6</v>
      </c>
      <c r="S26" s="38">
        <v>3.41</v>
      </c>
      <c r="T26" s="38">
        <v>12.77</v>
      </c>
      <c r="U26" s="38">
        <v>5.2</v>
      </c>
      <c r="V26" s="135"/>
      <c r="W26" s="38">
        <v>3.87</v>
      </c>
      <c r="X26" s="38">
        <v>5.5</v>
      </c>
      <c r="Y26" s="38">
        <v>17.95</v>
      </c>
      <c r="Z26" s="38">
        <v>50.7</v>
      </c>
      <c r="AA26" s="135"/>
      <c r="AB26" s="38">
        <v>0</v>
      </c>
      <c r="AC26" s="38">
        <v>20.56</v>
      </c>
      <c r="AD26" s="38">
        <v>26.09</v>
      </c>
      <c r="AE26" s="38">
        <v>12.63</v>
      </c>
      <c r="AF26" s="38">
        <v>18.100000000000001</v>
      </c>
      <c r="AG26" s="38">
        <v>18.18</v>
      </c>
      <c r="AH26" s="38">
        <v>39.03</v>
      </c>
      <c r="AI26" s="135"/>
      <c r="AJ26" s="38">
        <v>5.82</v>
      </c>
      <c r="AK26" s="38">
        <v>12.61</v>
      </c>
      <c r="AL26" s="135"/>
      <c r="AM26" s="135"/>
      <c r="AN26" s="38">
        <v>34.909999999999997</v>
      </c>
      <c r="AO26" s="38">
        <v>14.72</v>
      </c>
      <c r="AP26" s="38">
        <v>16.670000000000002</v>
      </c>
      <c r="AQ26" s="38">
        <v>24.92</v>
      </c>
      <c r="AR26" s="135"/>
    </row>
    <row r="27" spans="1:44" ht="16">
      <c r="A27" s="37">
        <v>2020</v>
      </c>
      <c r="B27" s="135"/>
      <c r="C27" s="38">
        <v>12.9</v>
      </c>
      <c r="D27" s="38">
        <v>47.22</v>
      </c>
      <c r="E27" s="38">
        <v>19.46</v>
      </c>
      <c r="F27" s="38">
        <v>25.55</v>
      </c>
      <c r="G27" s="38">
        <v>21.55</v>
      </c>
      <c r="H27" s="38">
        <v>29.07</v>
      </c>
      <c r="I27" s="38">
        <v>100</v>
      </c>
      <c r="J27" s="38">
        <v>57.85</v>
      </c>
      <c r="K27" s="135"/>
      <c r="L27" s="135"/>
      <c r="M27" s="38">
        <v>5.82</v>
      </c>
      <c r="N27" s="38">
        <v>60.24</v>
      </c>
      <c r="O27" s="38">
        <v>31.47</v>
      </c>
      <c r="P27" s="38">
        <v>8.83</v>
      </c>
      <c r="Q27" s="38">
        <v>25.98</v>
      </c>
      <c r="R27" s="38">
        <v>35.43</v>
      </c>
      <c r="S27" s="38">
        <v>3.34</v>
      </c>
      <c r="T27" s="38">
        <v>12.04</v>
      </c>
      <c r="U27" s="38">
        <v>9.51</v>
      </c>
      <c r="V27" s="135"/>
      <c r="W27" s="38">
        <v>3.85</v>
      </c>
      <c r="X27" s="38">
        <v>7.89</v>
      </c>
      <c r="Y27" s="38">
        <v>51.72</v>
      </c>
      <c r="Z27" s="38">
        <v>54.68</v>
      </c>
      <c r="AA27" s="135"/>
      <c r="AB27" s="135"/>
      <c r="AC27" s="38">
        <v>24.55</v>
      </c>
      <c r="AD27" s="38">
        <v>25.46</v>
      </c>
      <c r="AE27" s="38">
        <v>12.49</v>
      </c>
      <c r="AF27" s="38">
        <v>14.61</v>
      </c>
      <c r="AG27" s="38">
        <v>13.46</v>
      </c>
      <c r="AH27" s="38">
        <v>39.01</v>
      </c>
      <c r="AI27" s="135"/>
      <c r="AJ27" s="38">
        <v>4.57</v>
      </c>
      <c r="AK27" s="38">
        <v>12.83</v>
      </c>
      <c r="AL27" s="135"/>
      <c r="AM27" s="135"/>
      <c r="AN27" s="38">
        <v>35.93</v>
      </c>
      <c r="AO27" s="38">
        <v>11.63</v>
      </c>
      <c r="AP27" s="38">
        <v>20</v>
      </c>
      <c r="AQ27" s="38">
        <v>25.58</v>
      </c>
      <c r="AR27" s="135"/>
    </row>
    <row r="28" spans="1:44" ht="16">
      <c r="A28" s="37">
        <v>2021</v>
      </c>
      <c r="B28" s="135"/>
      <c r="C28" s="38">
        <v>10.5</v>
      </c>
      <c r="D28" s="38">
        <v>50.98</v>
      </c>
      <c r="E28" s="38">
        <v>16.18</v>
      </c>
      <c r="F28" s="38">
        <v>24.35</v>
      </c>
      <c r="G28" s="38">
        <v>19.04</v>
      </c>
      <c r="H28" s="38">
        <v>28.57</v>
      </c>
      <c r="I28" s="135"/>
      <c r="J28" s="38">
        <v>57.45</v>
      </c>
      <c r="K28" s="135"/>
      <c r="L28" s="135"/>
      <c r="M28" s="38">
        <v>5.46</v>
      </c>
      <c r="N28" s="38">
        <v>59.85</v>
      </c>
      <c r="O28" s="38">
        <v>43.35</v>
      </c>
      <c r="P28" s="38">
        <v>11.63</v>
      </c>
      <c r="Q28" s="38">
        <v>19.75</v>
      </c>
      <c r="R28" s="38">
        <v>36.46</v>
      </c>
      <c r="S28" s="38">
        <v>3.13</v>
      </c>
      <c r="T28" s="38">
        <v>16.899999999999999</v>
      </c>
      <c r="U28" s="38">
        <v>4.18</v>
      </c>
      <c r="V28" s="135"/>
      <c r="W28" s="38">
        <v>3.65</v>
      </c>
      <c r="X28" s="38">
        <v>7.78</v>
      </c>
      <c r="Y28" s="38">
        <v>25</v>
      </c>
      <c r="Z28" s="38">
        <v>54.34</v>
      </c>
      <c r="AA28" s="38">
        <v>0</v>
      </c>
      <c r="AB28" s="135"/>
      <c r="AC28" s="38">
        <v>25.26</v>
      </c>
      <c r="AD28" s="38">
        <v>26.9</v>
      </c>
      <c r="AE28" s="38">
        <v>12</v>
      </c>
      <c r="AF28" s="38">
        <v>16.559999999999999</v>
      </c>
      <c r="AG28" s="38">
        <v>17.52</v>
      </c>
      <c r="AH28" s="38">
        <v>41.17</v>
      </c>
      <c r="AI28" s="135"/>
      <c r="AJ28" s="38">
        <v>5.85</v>
      </c>
      <c r="AK28" s="38">
        <v>10.62</v>
      </c>
      <c r="AL28" s="135"/>
      <c r="AM28" s="135"/>
      <c r="AN28" s="38">
        <v>38.03</v>
      </c>
      <c r="AO28" s="38">
        <v>11.84</v>
      </c>
      <c r="AP28" s="38">
        <v>30</v>
      </c>
      <c r="AQ28" s="38">
        <v>28.1</v>
      </c>
      <c r="AR28" s="135"/>
    </row>
    <row r="29" spans="1:44" ht="16">
      <c r="A29" s="37">
        <v>2022</v>
      </c>
      <c r="B29" s="135"/>
      <c r="C29" s="38">
        <v>11.21</v>
      </c>
      <c r="D29" s="38">
        <v>51.59</v>
      </c>
      <c r="E29" s="38">
        <v>23.56</v>
      </c>
      <c r="F29" s="38">
        <v>23.67</v>
      </c>
      <c r="G29" s="38">
        <v>17.32</v>
      </c>
      <c r="H29" s="38">
        <v>30.45</v>
      </c>
      <c r="I29" s="135"/>
      <c r="J29" s="38">
        <v>58.46</v>
      </c>
      <c r="K29" s="135"/>
      <c r="L29" s="135"/>
      <c r="M29" s="38">
        <v>5.0199999999999996</v>
      </c>
      <c r="N29" s="38">
        <v>59.19</v>
      </c>
      <c r="O29" s="38">
        <v>34.130000000000003</v>
      </c>
      <c r="P29" s="38">
        <v>11.92</v>
      </c>
      <c r="Q29" s="38">
        <v>21.58</v>
      </c>
      <c r="R29" s="38">
        <v>38.49</v>
      </c>
      <c r="S29" s="38">
        <v>3</v>
      </c>
      <c r="T29" s="38">
        <v>14.76</v>
      </c>
      <c r="U29" s="38">
        <v>8.19</v>
      </c>
      <c r="V29" s="135"/>
      <c r="W29" s="38">
        <v>3.62</v>
      </c>
      <c r="X29" s="38">
        <v>6.54</v>
      </c>
      <c r="Y29" s="38">
        <v>23.53</v>
      </c>
      <c r="Z29" s="38">
        <v>54.45</v>
      </c>
      <c r="AA29" s="38">
        <v>0</v>
      </c>
      <c r="AB29" s="38">
        <v>33.33</v>
      </c>
      <c r="AC29" s="38">
        <v>28.15</v>
      </c>
      <c r="AD29" s="38">
        <v>23.88</v>
      </c>
      <c r="AE29" s="38">
        <v>12.32</v>
      </c>
      <c r="AF29" s="38">
        <v>22.91</v>
      </c>
      <c r="AG29" s="38">
        <v>18.29</v>
      </c>
      <c r="AH29" s="38">
        <v>41.43</v>
      </c>
      <c r="AI29" s="135"/>
      <c r="AJ29" s="38">
        <v>5.34</v>
      </c>
      <c r="AK29" s="38">
        <v>11.84</v>
      </c>
      <c r="AL29" s="135"/>
      <c r="AM29" s="135"/>
      <c r="AN29" s="38">
        <v>37.619999999999997</v>
      </c>
      <c r="AO29" s="38">
        <v>9.94</v>
      </c>
      <c r="AP29" s="38">
        <v>15</v>
      </c>
      <c r="AQ29" s="38">
        <v>29.23</v>
      </c>
      <c r="AR29" s="135"/>
    </row>
    <row r="30" spans="1:44" ht="16">
      <c r="A30" s="37">
        <v>2023</v>
      </c>
      <c r="B30" s="135"/>
      <c r="C30" s="38">
        <v>9.89</v>
      </c>
      <c r="D30" s="38">
        <v>54.51</v>
      </c>
      <c r="E30" s="38">
        <v>21.85</v>
      </c>
      <c r="F30" s="38">
        <v>24.95</v>
      </c>
      <c r="G30" s="38">
        <v>19.16</v>
      </c>
      <c r="H30" s="38">
        <v>25.22</v>
      </c>
      <c r="I30" s="135"/>
      <c r="J30" s="38">
        <v>56.19</v>
      </c>
      <c r="K30" s="135"/>
      <c r="L30" s="135"/>
      <c r="M30" s="38">
        <v>5.05</v>
      </c>
      <c r="N30" s="38">
        <v>57.27</v>
      </c>
      <c r="O30" s="38">
        <v>35.71</v>
      </c>
      <c r="P30" s="38">
        <v>13.45</v>
      </c>
      <c r="Q30" s="38">
        <v>18.29</v>
      </c>
      <c r="R30" s="38">
        <v>41.16</v>
      </c>
      <c r="S30" s="38">
        <v>2.92</v>
      </c>
      <c r="T30" s="38">
        <v>15.93</v>
      </c>
      <c r="U30" s="38">
        <v>6.13</v>
      </c>
      <c r="V30" s="135"/>
      <c r="W30" s="38">
        <v>2.9</v>
      </c>
      <c r="X30" s="38">
        <v>7.45</v>
      </c>
      <c r="Y30" s="38">
        <v>18.18</v>
      </c>
      <c r="Z30" s="38">
        <v>54.11</v>
      </c>
      <c r="AA30" s="135"/>
      <c r="AB30" s="38">
        <v>0</v>
      </c>
      <c r="AC30" s="38">
        <v>27.57</v>
      </c>
      <c r="AD30" s="38">
        <v>25.83</v>
      </c>
      <c r="AE30" s="38">
        <v>12.06</v>
      </c>
      <c r="AF30" s="38">
        <v>14.58</v>
      </c>
      <c r="AG30" s="38">
        <v>19.600000000000001</v>
      </c>
      <c r="AH30" s="38">
        <v>39.35</v>
      </c>
      <c r="AI30" s="135"/>
      <c r="AJ30" s="38">
        <v>5.44</v>
      </c>
      <c r="AK30" s="38">
        <v>10.4</v>
      </c>
      <c r="AL30" s="135"/>
      <c r="AM30" s="135"/>
      <c r="AN30" s="38">
        <v>40.549999999999997</v>
      </c>
      <c r="AO30" s="38">
        <v>10.35</v>
      </c>
      <c r="AP30" s="38">
        <v>9.68</v>
      </c>
      <c r="AQ30" s="38">
        <v>31.38</v>
      </c>
      <c r="AR30" s="135"/>
    </row>
    <row r="31" spans="1:44" ht="16">
      <c r="A31" s="37">
        <v>2024</v>
      </c>
      <c r="B31" s="135"/>
      <c r="C31" s="38">
        <v>9.93</v>
      </c>
      <c r="D31" s="38">
        <v>49.6</v>
      </c>
      <c r="E31" s="38">
        <v>27.23</v>
      </c>
      <c r="F31" s="38">
        <v>24.11</v>
      </c>
      <c r="G31" s="38">
        <v>15.53</v>
      </c>
      <c r="H31" s="38">
        <v>28.37</v>
      </c>
      <c r="I31" s="135"/>
      <c r="J31" s="38">
        <v>56.61</v>
      </c>
      <c r="K31" s="135"/>
      <c r="L31" s="135"/>
      <c r="M31" s="38">
        <v>4.93</v>
      </c>
      <c r="N31" s="38">
        <v>55.57</v>
      </c>
      <c r="O31" s="38">
        <v>42.13</v>
      </c>
      <c r="P31" s="38">
        <v>13.47</v>
      </c>
      <c r="Q31" s="38">
        <v>22.67</v>
      </c>
      <c r="R31" s="38">
        <v>42.24</v>
      </c>
      <c r="S31" s="38">
        <v>2.78</v>
      </c>
      <c r="T31" s="38">
        <v>13.54</v>
      </c>
      <c r="U31" s="38">
        <v>5.75</v>
      </c>
      <c r="V31" s="135"/>
      <c r="W31" s="38">
        <v>3.44</v>
      </c>
      <c r="X31" s="38">
        <v>2.84</v>
      </c>
      <c r="Y31" s="38">
        <v>11.11</v>
      </c>
      <c r="Z31" s="38">
        <v>51.44</v>
      </c>
      <c r="AA31" s="135"/>
      <c r="AB31" s="38">
        <v>0</v>
      </c>
      <c r="AC31" s="38">
        <v>27.45</v>
      </c>
      <c r="AD31" s="38">
        <v>26.9</v>
      </c>
      <c r="AE31" s="38">
        <v>11.72</v>
      </c>
      <c r="AF31" s="38">
        <v>15.94</v>
      </c>
      <c r="AG31" s="38">
        <v>19.91</v>
      </c>
      <c r="AH31" s="38">
        <v>39.79</v>
      </c>
      <c r="AI31" s="135"/>
      <c r="AJ31" s="38">
        <v>5.66</v>
      </c>
      <c r="AK31" s="38">
        <v>9.94</v>
      </c>
      <c r="AL31" s="135"/>
      <c r="AM31" s="135"/>
      <c r="AN31" s="38">
        <v>41.23</v>
      </c>
      <c r="AO31" s="38">
        <v>11.01</v>
      </c>
      <c r="AP31" s="38">
        <v>17.86</v>
      </c>
      <c r="AQ31" s="38">
        <v>30.41</v>
      </c>
      <c r="AR31" s="135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L12"/>
  <sheetViews>
    <sheetView workbookViewId="0"/>
  </sheetViews>
  <sheetFormatPr baseColWidth="10" defaultColWidth="8.83203125" defaultRowHeight="15"/>
  <sheetData>
    <row r="1" spans="1:12">
      <c r="A1" t="s">
        <v>421</v>
      </c>
      <c r="B1" s="19" t="s">
        <v>30</v>
      </c>
      <c r="C1" s="19" t="s">
        <v>68</v>
      </c>
      <c r="D1" s="19" t="s">
        <v>370</v>
      </c>
      <c r="E1" s="19" t="s">
        <v>315</v>
      </c>
      <c r="F1" s="19" t="s">
        <v>422</v>
      </c>
      <c r="G1" s="19" t="s">
        <v>423</v>
      </c>
      <c r="H1" s="19" t="s">
        <v>317</v>
      </c>
      <c r="I1" s="19" t="s">
        <v>69</v>
      </c>
      <c r="J1" s="19" t="s">
        <v>326</v>
      </c>
      <c r="K1" s="19" t="s">
        <v>424</v>
      </c>
      <c r="L1" s="2"/>
    </row>
    <row r="2" spans="1:12">
      <c r="A2">
        <v>2013</v>
      </c>
      <c r="B2">
        <v>4443</v>
      </c>
      <c r="C2">
        <v>2075</v>
      </c>
      <c r="D2">
        <v>1012</v>
      </c>
      <c r="E2">
        <v>380</v>
      </c>
      <c r="F2">
        <v>96</v>
      </c>
      <c r="G2">
        <v>53</v>
      </c>
      <c r="H2">
        <v>571</v>
      </c>
      <c r="I2">
        <v>335</v>
      </c>
      <c r="J2">
        <v>392</v>
      </c>
      <c r="K2" t="s">
        <v>425</v>
      </c>
    </row>
    <row r="3" spans="1:12">
      <c r="A3">
        <v>2014</v>
      </c>
      <c r="B3">
        <v>4653</v>
      </c>
      <c r="C3">
        <v>2209</v>
      </c>
      <c r="D3">
        <v>930</v>
      </c>
      <c r="E3">
        <v>463</v>
      </c>
      <c r="F3">
        <v>127</v>
      </c>
      <c r="G3">
        <v>76</v>
      </c>
      <c r="H3">
        <v>559</v>
      </c>
      <c r="I3">
        <v>325</v>
      </c>
      <c r="J3">
        <v>360</v>
      </c>
      <c r="K3">
        <v>163</v>
      </c>
    </row>
    <row r="4" spans="1:12">
      <c r="A4">
        <v>2015</v>
      </c>
      <c r="B4">
        <v>4971</v>
      </c>
      <c r="C4">
        <v>2119</v>
      </c>
      <c r="D4">
        <v>920</v>
      </c>
      <c r="E4">
        <v>608</v>
      </c>
      <c r="F4">
        <v>146</v>
      </c>
      <c r="G4">
        <v>98</v>
      </c>
      <c r="H4">
        <v>516</v>
      </c>
      <c r="I4">
        <v>325</v>
      </c>
      <c r="J4">
        <v>386</v>
      </c>
      <c r="K4">
        <v>162</v>
      </c>
    </row>
    <row r="5" spans="1:12">
      <c r="A5">
        <v>2016</v>
      </c>
      <c r="B5">
        <v>5141</v>
      </c>
      <c r="C5">
        <v>2085</v>
      </c>
      <c r="D5">
        <v>892</v>
      </c>
      <c r="E5">
        <v>664</v>
      </c>
      <c r="F5">
        <v>178</v>
      </c>
      <c r="G5">
        <v>175</v>
      </c>
      <c r="H5">
        <v>500</v>
      </c>
      <c r="I5">
        <v>275</v>
      </c>
      <c r="J5">
        <v>380</v>
      </c>
      <c r="K5">
        <v>208</v>
      </c>
    </row>
    <row r="6" spans="1:12">
      <c r="A6">
        <v>2017</v>
      </c>
      <c r="B6">
        <v>5147</v>
      </c>
      <c r="C6">
        <v>1885</v>
      </c>
      <c r="D6">
        <v>818</v>
      </c>
      <c r="E6">
        <v>728</v>
      </c>
      <c r="F6">
        <v>225</v>
      </c>
      <c r="G6">
        <v>232</v>
      </c>
      <c r="H6">
        <v>435</v>
      </c>
      <c r="I6">
        <v>288</v>
      </c>
      <c r="J6">
        <v>393</v>
      </c>
      <c r="K6">
        <v>209</v>
      </c>
    </row>
    <row r="7" spans="1:12">
      <c r="A7">
        <v>2018</v>
      </c>
      <c r="B7">
        <v>5692</v>
      </c>
      <c r="C7">
        <v>1922</v>
      </c>
      <c r="D7">
        <v>729</v>
      </c>
      <c r="E7">
        <v>869</v>
      </c>
      <c r="F7">
        <v>271</v>
      </c>
      <c r="G7">
        <v>294</v>
      </c>
      <c r="H7">
        <v>445</v>
      </c>
      <c r="I7">
        <v>307</v>
      </c>
      <c r="J7">
        <v>364</v>
      </c>
      <c r="K7">
        <v>219</v>
      </c>
    </row>
    <row r="8" spans="1:12">
      <c r="A8">
        <v>2019</v>
      </c>
      <c r="B8">
        <v>5755</v>
      </c>
      <c r="C8">
        <v>1910</v>
      </c>
      <c r="D8">
        <v>824</v>
      </c>
      <c r="E8">
        <v>882</v>
      </c>
      <c r="F8">
        <v>271</v>
      </c>
      <c r="G8">
        <v>431</v>
      </c>
      <c r="H8">
        <v>426</v>
      </c>
      <c r="I8">
        <v>313</v>
      </c>
      <c r="J8">
        <v>324</v>
      </c>
      <c r="K8">
        <v>230</v>
      </c>
    </row>
    <row r="9" spans="1:12">
      <c r="A9">
        <v>2020</v>
      </c>
      <c r="B9">
        <v>5730</v>
      </c>
      <c r="C9">
        <v>2111</v>
      </c>
      <c r="D9">
        <v>756</v>
      </c>
      <c r="E9">
        <v>896</v>
      </c>
      <c r="F9">
        <v>369</v>
      </c>
      <c r="G9">
        <v>471</v>
      </c>
      <c r="H9">
        <v>417</v>
      </c>
      <c r="I9">
        <v>281</v>
      </c>
      <c r="J9">
        <v>305</v>
      </c>
      <c r="K9" t="s">
        <v>425</v>
      </c>
    </row>
    <row r="10" spans="1:12">
      <c r="A10">
        <v>2021</v>
      </c>
      <c r="B10">
        <v>5605</v>
      </c>
      <c r="C10">
        <v>2138</v>
      </c>
      <c r="D10">
        <v>733</v>
      </c>
      <c r="E10">
        <v>741</v>
      </c>
      <c r="F10">
        <v>381</v>
      </c>
      <c r="G10">
        <v>368</v>
      </c>
      <c r="H10">
        <v>375</v>
      </c>
      <c r="I10">
        <v>267</v>
      </c>
      <c r="J10">
        <v>272</v>
      </c>
      <c r="K10">
        <v>242</v>
      </c>
    </row>
    <row r="11" spans="1:12">
      <c r="A11">
        <v>2022</v>
      </c>
      <c r="B11">
        <v>6029</v>
      </c>
      <c r="C11">
        <v>2513</v>
      </c>
      <c r="D11">
        <v>761</v>
      </c>
      <c r="E11">
        <v>791</v>
      </c>
      <c r="F11">
        <v>522</v>
      </c>
      <c r="G11">
        <v>385</v>
      </c>
      <c r="H11">
        <v>374</v>
      </c>
      <c r="I11">
        <v>356</v>
      </c>
      <c r="J11">
        <v>289</v>
      </c>
      <c r="K11">
        <v>305</v>
      </c>
    </row>
    <row r="12" spans="1:12">
      <c r="A12">
        <v>2023</v>
      </c>
      <c r="B12">
        <v>5981</v>
      </c>
      <c r="C12">
        <v>2583</v>
      </c>
      <c r="D12">
        <v>800</v>
      </c>
      <c r="E12">
        <v>597</v>
      </c>
      <c r="F12">
        <v>528</v>
      </c>
      <c r="G12">
        <v>373</v>
      </c>
      <c r="H12">
        <v>420</v>
      </c>
      <c r="I12">
        <v>300</v>
      </c>
      <c r="J12">
        <v>289</v>
      </c>
      <c r="K12">
        <v>311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3"/>
  <dimension ref="A1:D45"/>
  <sheetViews>
    <sheetView zoomScaleNormal="100" workbookViewId="0"/>
  </sheetViews>
  <sheetFormatPr baseColWidth="10" defaultColWidth="8.83203125" defaultRowHeight="15"/>
  <sheetData>
    <row r="1" spans="1:4">
      <c r="A1" s="1" t="s">
        <v>0</v>
      </c>
      <c r="B1" t="s">
        <v>419</v>
      </c>
      <c r="C1" t="s">
        <v>420</v>
      </c>
      <c r="D1" s="1"/>
    </row>
    <row r="2" spans="1:4">
      <c r="A2">
        <v>1980</v>
      </c>
      <c r="B2">
        <v>8307</v>
      </c>
      <c r="C2">
        <v>4735</v>
      </c>
      <c r="D2" s="1"/>
    </row>
    <row r="3" spans="1:4">
      <c r="A3">
        <v>1981</v>
      </c>
      <c r="B3">
        <v>8504</v>
      </c>
      <c r="C3">
        <v>5227</v>
      </c>
      <c r="D3" s="1"/>
    </row>
    <row r="4" spans="1:4">
      <c r="A4">
        <v>1982</v>
      </c>
      <c r="B4">
        <v>8393</v>
      </c>
      <c r="C4">
        <v>5305</v>
      </c>
      <c r="D4" s="1"/>
    </row>
    <row r="5" spans="1:4">
      <c r="A5">
        <v>1983</v>
      </c>
      <c r="B5">
        <v>9063</v>
      </c>
      <c r="C5">
        <v>5499</v>
      </c>
      <c r="D5" s="1"/>
    </row>
    <row r="6" spans="1:4">
      <c r="A6">
        <v>1984</v>
      </c>
      <c r="B6">
        <v>9248</v>
      </c>
      <c r="C6">
        <v>5731</v>
      </c>
      <c r="D6" s="1"/>
    </row>
    <row r="7" spans="1:4">
      <c r="A7">
        <v>1985</v>
      </c>
      <c r="B7">
        <v>9300</v>
      </c>
      <c r="C7">
        <v>6276</v>
      </c>
      <c r="D7" s="1"/>
    </row>
    <row r="8" spans="1:4">
      <c r="A8">
        <v>1986</v>
      </c>
      <c r="B8">
        <v>9660</v>
      </c>
      <c r="C8">
        <v>6852</v>
      </c>
      <c r="D8" s="1"/>
    </row>
    <row r="9" spans="1:4">
      <c r="A9">
        <v>1987</v>
      </c>
      <c r="B9">
        <v>9835</v>
      </c>
      <c r="C9">
        <v>7534</v>
      </c>
      <c r="D9" s="1"/>
    </row>
    <row r="10" spans="1:4">
      <c r="A10">
        <v>1988</v>
      </c>
      <c r="B10">
        <v>9856</v>
      </c>
      <c r="C10">
        <v>8168</v>
      </c>
      <c r="D10" s="1"/>
    </row>
    <row r="11" spans="1:4">
      <c r="A11">
        <v>1989</v>
      </c>
      <c r="B11">
        <v>10028</v>
      </c>
      <c r="C11">
        <v>8950</v>
      </c>
      <c r="D11" s="1"/>
    </row>
    <row r="12" spans="1:4">
      <c r="A12">
        <v>1990</v>
      </c>
      <c r="B12">
        <v>10056</v>
      </c>
      <c r="C12">
        <v>9797</v>
      </c>
    </row>
    <row r="13" spans="1:4">
      <c r="A13">
        <v>1991</v>
      </c>
      <c r="B13">
        <v>10152</v>
      </c>
      <c r="C13">
        <v>10443</v>
      </c>
    </row>
    <row r="14" spans="1:4">
      <c r="A14">
        <v>1992</v>
      </c>
      <c r="B14">
        <v>10417</v>
      </c>
      <c r="C14">
        <v>11097</v>
      </c>
    </row>
    <row r="15" spans="1:4">
      <c r="A15">
        <v>1993</v>
      </c>
      <c r="B15">
        <v>10792</v>
      </c>
      <c r="C15">
        <v>11427</v>
      </c>
    </row>
    <row r="16" spans="1:4">
      <c r="A16">
        <v>1994</v>
      </c>
      <c r="B16">
        <v>11451</v>
      </c>
      <c r="C16">
        <v>11730</v>
      </c>
    </row>
    <row r="17" spans="1:3">
      <c r="A17">
        <v>1995</v>
      </c>
      <c r="B17">
        <v>11824</v>
      </c>
      <c r="C17">
        <v>11688</v>
      </c>
    </row>
    <row r="18" spans="1:3">
      <c r="A18">
        <v>1996</v>
      </c>
      <c r="B18">
        <v>11880</v>
      </c>
      <c r="C18">
        <v>12012</v>
      </c>
    </row>
    <row r="19" spans="1:3">
      <c r="A19">
        <v>1997</v>
      </c>
      <c r="B19">
        <v>11746</v>
      </c>
      <c r="C19">
        <v>12547</v>
      </c>
    </row>
    <row r="20" spans="1:3">
      <c r="A20">
        <v>1998</v>
      </c>
      <c r="B20">
        <v>12016</v>
      </c>
      <c r="C20">
        <v>13007</v>
      </c>
    </row>
    <row r="21" spans="1:3">
      <c r="A21">
        <v>1999</v>
      </c>
      <c r="B21">
        <v>11707</v>
      </c>
      <c r="C21">
        <v>14077</v>
      </c>
    </row>
    <row r="22" spans="1:3">
      <c r="A22">
        <v>2000</v>
      </c>
      <c r="B22">
        <v>11558</v>
      </c>
      <c r="C22">
        <v>15353</v>
      </c>
    </row>
    <row r="23" spans="1:3">
      <c r="A23">
        <v>2001</v>
      </c>
      <c r="B23">
        <v>11108</v>
      </c>
      <c r="C23">
        <v>15936</v>
      </c>
    </row>
    <row r="24" spans="1:3">
      <c r="A24">
        <v>2002</v>
      </c>
      <c r="B24">
        <v>12407</v>
      </c>
      <c r="C24">
        <v>15964</v>
      </c>
    </row>
    <row r="25" spans="1:3">
      <c r="A25">
        <v>2003</v>
      </c>
      <c r="B25">
        <v>12409</v>
      </c>
      <c r="C25">
        <v>17447</v>
      </c>
    </row>
    <row r="26" spans="1:3">
      <c r="A26">
        <v>2004</v>
      </c>
      <c r="B26">
        <v>12672</v>
      </c>
      <c r="C26">
        <v>17444</v>
      </c>
    </row>
    <row r="27" spans="1:3">
      <c r="A27">
        <v>2005</v>
      </c>
      <c r="B27">
        <v>12665</v>
      </c>
      <c r="C27">
        <v>17625</v>
      </c>
    </row>
    <row r="28" spans="1:3">
      <c r="A28">
        <v>2006</v>
      </c>
      <c r="B28">
        <v>12573</v>
      </c>
      <c r="C28">
        <v>17672</v>
      </c>
    </row>
    <row r="29" spans="1:3">
      <c r="A29">
        <v>2007</v>
      </c>
      <c r="B29">
        <v>13513</v>
      </c>
      <c r="C29">
        <v>17768</v>
      </c>
    </row>
    <row r="30" spans="1:3">
      <c r="A30">
        <v>2008</v>
      </c>
      <c r="B30">
        <v>14375</v>
      </c>
      <c r="C30">
        <v>18366</v>
      </c>
    </row>
    <row r="31" spans="1:3">
      <c r="A31">
        <v>2009</v>
      </c>
      <c r="B31">
        <v>15800</v>
      </c>
      <c r="C31">
        <v>18588</v>
      </c>
    </row>
    <row r="32" spans="1:3">
      <c r="A32">
        <v>2010</v>
      </c>
      <c r="B32">
        <v>17793</v>
      </c>
      <c r="C32">
        <v>19558</v>
      </c>
    </row>
    <row r="33" spans="1:3">
      <c r="A33">
        <v>2011</v>
      </c>
      <c r="B33">
        <v>17706</v>
      </c>
      <c r="C33">
        <v>19629</v>
      </c>
    </row>
    <row r="34" spans="1:3">
      <c r="A34">
        <v>2012</v>
      </c>
      <c r="B34">
        <v>17476</v>
      </c>
      <c r="C34">
        <v>19262</v>
      </c>
    </row>
    <row r="35" spans="1:3">
      <c r="A35">
        <v>2013</v>
      </c>
      <c r="B35">
        <v>17551</v>
      </c>
      <c r="C35">
        <v>18738</v>
      </c>
    </row>
    <row r="36" spans="1:3">
      <c r="A36">
        <v>2014</v>
      </c>
      <c r="B36">
        <v>17661</v>
      </c>
      <c r="C36">
        <v>19655</v>
      </c>
    </row>
    <row r="37" spans="1:3">
      <c r="A37">
        <v>2015</v>
      </c>
      <c r="B37">
        <v>17072</v>
      </c>
      <c r="C37">
        <v>20567</v>
      </c>
    </row>
    <row r="38" spans="1:3">
      <c r="A38">
        <v>2016</v>
      </c>
      <c r="B38">
        <v>17615</v>
      </c>
      <c r="C38">
        <v>20326</v>
      </c>
    </row>
    <row r="39" spans="1:3">
      <c r="A39">
        <v>2017</v>
      </c>
      <c r="B39">
        <v>17993</v>
      </c>
      <c r="C39">
        <v>20248</v>
      </c>
    </row>
    <row r="40" spans="1:3">
      <c r="A40">
        <v>2018</v>
      </c>
      <c r="B40">
        <v>17447</v>
      </c>
      <c r="C40">
        <v>20117</v>
      </c>
    </row>
    <row r="41" spans="1:3">
      <c r="A41">
        <v>2019</v>
      </c>
      <c r="B41">
        <v>17344</v>
      </c>
      <c r="C41">
        <v>21159</v>
      </c>
    </row>
    <row r="42" spans="1:3">
      <c r="A42">
        <v>2020</v>
      </c>
      <c r="B42">
        <v>18276</v>
      </c>
      <c r="C42">
        <v>20465</v>
      </c>
    </row>
    <row r="43" spans="1:3">
      <c r="A43">
        <v>2021</v>
      </c>
      <c r="B43">
        <v>17860</v>
      </c>
      <c r="C43">
        <v>19329</v>
      </c>
    </row>
    <row r="44" spans="1:3">
      <c r="A44">
        <v>2022</v>
      </c>
      <c r="B44">
        <v>16542</v>
      </c>
      <c r="C44">
        <v>20131</v>
      </c>
    </row>
    <row r="45" spans="1:3">
      <c r="A45">
        <v>2023</v>
      </c>
      <c r="B45">
        <v>16635</v>
      </c>
      <c r="C45">
        <v>21347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5"/>
  <dimension ref="A1:D45"/>
  <sheetViews>
    <sheetView workbookViewId="0"/>
  </sheetViews>
  <sheetFormatPr baseColWidth="10" defaultColWidth="8.83203125" defaultRowHeight="15"/>
  <sheetData>
    <row r="1" spans="1:4">
      <c r="A1" s="1" t="s">
        <v>0</v>
      </c>
      <c r="B1" t="s">
        <v>419</v>
      </c>
      <c r="C1" t="s">
        <v>420</v>
      </c>
      <c r="D1" s="1"/>
    </row>
    <row r="2" spans="1:4">
      <c r="A2">
        <v>1980</v>
      </c>
      <c r="B2">
        <v>303</v>
      </c>
      <c r="C2">
        <v>678</v>
      </c>
      <c r="D2" s="1"/>
    </row>
    <row r="3" spans="1:4">
      <c r="A3">
        <v>1981</v>
      </c>
      <c r="B3">
        <v>332</v>
      </c>
      <c r="C3">
        <v>708</v>
      </c>
      <c r="D3" s="1"/>
    </row>
    <row r="4" spans="1:4">
      <c r="A4">
        <v>1982</v>
      </c>
      <c r="B4">
        <v>323</v>
      </c>
      <c r="C4">
        <v>657</v>
      </c>
      <c r="D4" s="1"/>
    </row>
    <row r="5" spans="1:4">
      <c r="A5">
        <v>1983</v>
      </c>
      <c r="B5">
        <v>414</v>
      </c>
      <c r="C5">
        <v>694</v>
      </c>
      <c r="D5" s="1"/>
    </row>
    <row r="6" spans="1:4">
      <c r="A6">
        <v>1984</v>
      </c>
      <c r="B6">
        <v>439</v>
      </c>
      <c r="C6">
        <v>764</v>
      </c>
      <c r="D6" s="1"/>
    </row>
    <row r="7" spans="1:4">
      <c r="A7">
        <v>1985</v>
      </c>
      <c r="B7">
        <v>443</v>
      </c>
      <c r="C7">
        <v>913</v>
      </c>
      <c r="D7" s="1"/>
    </row>
    <row r="8" spans="1:4">
      <c r="A8">
        <v>1986</v>
      </c>
      <c r="B8">
        <v>460</v>
      </c>
      <c r="C8">
        <v>945</v>
      </c>
      <c r="D8" s="1"/>
    </row>
    <row r="9" spans="1:4">
      <c r="A9">
        <v>1987</v>
      </c>
      <c r="B9">
        <v>497</v>
      </c>
      <c r="C9">
        <v>949</v>
      </c>
      <c r="D9" s="1"/>
    </row>
    <row r="10" spans="1:4">
      <c r="A10">
        <v>1988</v>
      </c>
      <c r="B10">
        <v>588</v>
      </c>
      <c r="C10">
        <v>1102</v>
      </c>
      <c r="D10" s="1"/>
    </row>
    <row r="11" spans="1:4">
      <c r="A11">
        <v>1989</v>
      </c>
      <c r="B11">
        <v>657</v>
      </c>
      <c r="C11">
        <v>1271</v>
      </c>
      <c r="D11" s="1"/>
    </row>
    <row r="12" spans="1:4">
      <c r="A12">
        <v>1990</v>
      </c>
      <c r="B12">
        <v>613</v>
      </c>
      <c r="C12">
        <v>1337</v>
      </c>
    </row>
    <row r="13" spans="1:4">
      <c r="A13">
        <v>1991</v>
      </c>
      <c r="B13">
        <v>655</v>
      </c>
      <c r="C13">
        <v>1607</v>
      </c>
    </row>
    <row r="14" spans="1:4">
      <c r="A14">
        <v>1992</v>
      </c>
      <c r="B14">
        <v>767</v>
      </c>
      <c r="C14">
        <v>1602</v>
      </c>
    </row>
    <row r="15" spans="1:4">
      <c r="A15">
        <v>1993</v>
      </c>
      <c r="B15">
        <v>843</v>
      </c>
      <c r="C15">
        <v>1603</v>
      </c>
    </row>
    <row r="16" spans="1:4">
      <c r="A16">
        <v>1994</v>
      </c>
      <c r="B16">
        <v>1018</v>
      </c>
      <c r="C16">
        <v>1588</v>
      </c>
    </row>
    <row r="17" spans="1:3">
      <c r="A17">
        <v>1995</v>
      </c>
      <c r="B17">
        <v>999</v>
      </c>
      <c r="C17">
        <v>1649</v>
      </c>
    </row>
    <row r="18" spans="1:3">
      <c r="A18">
        <v>1996</v>
      </c>
      <c r="B18">
        <v>1050</v>
      </c>
      <c r="C18">
        <v>1627</v>
      </c>
    </row>
    <row r="19" spans="1:3">
      <c r="A19">
        <v>1997</v>
      </c>
      <c r="B19">
        <v>1089</v>
      </c>
      <c r="C19">
        <v>1882</v>
      </c>
    </row>
    <row r="20" spans="1:3">
      <c r="A20">
        <v>1998</v>
      </c>
      <c r="B20">
        <v>950</v>
      </c>
      <c r="C20">
        <v>1903</v>
      </c>
    </row>
    <row r="21" spans="1:3">
      <c r="A21">
        <v>1999</v>
      </c>
      <c r="B21">
        <v>1018</v>
      </c>
      <c r="C21">
        <v>2178</v>
      </c>
    </row>
    <row r="22" spans="1:3">
      <c r="A22">
        <v>2000</v>
      </c>
      <c r="B22">
        <v>1069</v>
      </c>
      <c r="C22">
        <v>2244</v>
      </c>
    </row>
    <row r="23" spans="1:3">
      <c r="A23">
        <v>2001</v>
      </c>
      <c r="B23">
        <v>965</v>
      </c>
      <c r="C23">
        <v>2187</v>
      </c>
    </row>
    <row r="24" spans="1:3">
      <c r="A24">
        <v>2002</v>
      </c>
      <c r="B24">
        <v>1117</v>
      </c>
      <c r="C24">
        <v>2449</v>
      </c>
    </row>
    <row r="25" spans="1:3">
      <c r="A25">
        <v>2003</v>
      </c>
      <c r="B25">
        <v>1133</v>
      </c>
      <c r="C25">
        <v>2677</v>
      </c>
    </row>
    <row r="26" spans="1:3">
      <c r="A26">
        <v>2004</v>
      </c>
      <c r="B26">
        <v>1297</v>
      </c>
      <c r="C26">
        <v>2652</v>
      </c>
    </row>
    <row r="27" spans="1:3">
      <c r="A27">
        <v>2005</v>
      </c>
      <c r="B27">
        <v>1413</v>
      </c>
      <c r="C27">
        <v>2753</v>
      </c>
    </row>
    <row r="28" spans="1:3">
      <c r="A28">
        <v>2006</v>
      </c>
      <c r="B28">
        <v>1538</v>
      </c>
      <c r="C28">
        <v>3104</v>
      </c>
    </row>
    <row r="29" spans="1:3">
      <c r="A29">
        <v>2007</v>
      </c>
      <c r="B29">
        <v>1594</v>
      </c>
      <c r="C29">
        <v>3348</v>
      </c>
    </row>
    <row r="30" spans="1:3">
      <c r="A30">
        <v>2008</v>
      </c>
      <c r="B30">
        <v>1899</v>
      </c>
      <c r="C30">
        <v>3563</v>
      </c>
    </row>
    <row r="31" spans="1:3">
      <c r="A31">
        <v>2009</v>
      </c>
      <c r="B31">
        <v>2375</v>
      </c>
      <c r="C31">
        <v>4041</v>
      </c>
    </row>
    <row r="32" spans="1:3">
      <c r="A32">
        <v>2010</v>
      </c>
      <c r="B32">
        <v>2637</v>
      </c>
      <c r="C32">
        <v>4332</v>
      </c>
    </row>
    <row r="33" spans="1:3">
      <c r="A33">
        <v>2011</v>
      </c>
      <c r="B33">
        <v>2634</v>
      </c>
      <c r="C33">
        <v>4152</v>
      </c>
    </row>
    <row r="34" spans="1:3">
      <c r="A34">
        <v>2012</v>
      </c>
      <c r="B34">
        <v>2738</v>
      </c>
      <c r="C34">
        <v>4365</v>
      </c>
    </row>
    <row r="35" spans="1:3">
      <c r="A35">
        <v>2013</v>
      </c>
      <c r="B35">
        <v>2706</v>
      </c>
      <c r="C35">
        <v>4400</v>
      </c>
    </row>
    <row r="36" spans="1:3">
      <c r="A36">
        <v>2014</v>
      </c>
      <c r="B36">
        <v>2792</v>
      </c>
      <c r="C36">
        <v>4515</v>
      </c>
    </row>
    <row r="37" spans="1:3">
      <c r="A37">
        <v>2015</v>
      </c>
      <c r="B37">
        <v>2521</v>
      </c>
      <c r="C37">
        <v>5135</v>
      </c>
    </row>
    <row r="38" spans="1:3">
      <c r="A38">
        <v>2016</v>
      </c>
      <c r="B38">
        <v>2590</v>
      </c>
      <c r="C38">
        <v>5206</v>
      </c>
    </row>
    <row r="39" spans="1:3">
      <c r="A39">
        <v>2017</v>
      </c>
      <c r="B39">
        <v>2650</v>
      </c>
      <c r="C39">
        <v>5189</v>
      </c>
    </row>
    <row r="40" spans="1:3">
      <c r="A40">
        <v>2018</v>
      </c>
      <c r="B40">
        <v>2656</v>
      </c>
      <c r="C40">
        <v>5258</v>
      </c>
    </row>
    <row r="41" spans="1:3">
      <c r="A41">
        <v>2019</v>
      </c>
      <c r="B41">
        <v>2689</v>
      </c>
      <c r="C41">
        <v>5577</v>
      </c>
    </row>
    <row r="42" spans="1:3">
      <c r="A42">
        <v>2020</v>
      </c>
      <c r="B42">
        <v>2793</v>
      </c>
      <c r="C42">
        <v>5669</v>
      </c>
    </row>
    <row r="43" spans="1:3">
      <c r="A43">
        <v>2021</v>
      </c>
      <c r="B43">
        <v>2907</v>
      </c>
      <c r="C43">
        <v>5433</v>
      </c>
    </row>
    <row r="44" spans="1:3">
      <c r="A44">
        <v>2022</v>
      </c>
      <c r="B44">
        <v>2839</v>
      </c>
      <c r="C44">
        <v>5496</v>
      </c>
    </row>
    <row r="45" spans="1:3">
      <c r="A45">
        <v>2023</v>
      </c>
      <c r="B45">
        <v>2916</v>
      </c>
      <c r="C45">
        <v>6135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7"/>
  <dimension ref="A1:D45"/>
  <sheetViews>
    <sheetView workbookViewId="0">
      <selection activeCell="M34" sqref="M34"/>
    </sheetView>
  </sheetViews>
  <sheetFormatPr baseColWidth="10" defaultColWidth="8.83203125" defaultRowHeight="15"/>
  <sheetData>
    <row r="1" spans="1:4">
      <c r="A1" s="1" t="s">
        <v>0</v>
      </c>
      <c r="B1" t="s">
        <v>419</v>
      </c>
      <c r="C1" t="s">
        <v>420</v>
      </c>
      <c r="D1" s="1"/>
    </row>
    <row r="2" spans="1:4">
      <c r="A2">
        <v>1980</v>
      </c>
      <c r="B2">
        <v>3283</v>
      </c>
      <c r="C2">
        <v>1093</v>
      </c>
      <c r="D2" s="1"/>
    </row>
    <row r="3" spans="1:4">
      <c r="A3">
        <v>1981</v>
      </c>
      <c r="B3">
        <v>3504</v>
      </c>
      <c r="C3">
        <v>1359</v>
      </c>
      <c r="D3" s="1"/>
    </row>
    <row r="4" spans="1:4">
      <c r="A4">
        <v>1982</v>
      </c>
      <c r="B4">
        <v>3413</v>
      </c>
      <c r="C4">
        <v>1272</v>
      </c>
      <c r="D4" s="1"/>
    </row>
    <row r="5" spans="1:4">
      <c r="A5">
        <v>1983</v>
      </c>
      <c r="B5">
        <v>3716</v>
      </c>
      <c r="C5">
        <v>1326</v>
      </c>
      <c r="D5" s="1"/>
    </row>
    <row r="6" spans="1:4">
      <c r="A6">
        <v>1984</v>
      </c>
      <c r="B6">
        <v>3861</v>
      </c>
      <c r="C6">
        <v>1492</v>
      </c>
      <c r="D6" s="1"/>
    </row>
    <row r="7" spans="1:4">
      <c r="A7">
        <v>1985</v>
      </c>
      <c r="B7">
        <v>3785</v>
      </c>
      <c r="C7">
        <v>1670</v>
      </c>
      <c r="D7" s="1"/>
    </row>
    <row r="8" spans="1:4">
      <c r="A8">
        <v>1986</v>
      </c>
      <c r="B8">
        <v>3921</v>
      </c>
      <c r="C8">
        <v>1883</v>
      </c>
      <c r="D8" s="1"/>
    </row>
    <row r="9" spans="1:4">
      <c r="A9">
        <v>1987</v>
      </c>
      <c r="B9">
        <v>3801</v>
      </c>
      <c r="C9">
        <v>2265</v>
      </c>
      <c r="D9" s="1"/>
    </row>
    <row r="10" spans="1:4">
      <c r="A10">
        <v>1988</v>
      </c>
      <c r="B10">
        <v>3976</v>
      </c>
      <c r="C10">
        <v>2433</v>
      </c>
      <c r="D10" s="1"/>
    </row>
    <row r="11" spans="1:4">
      <c r="A11">
        <v>1989</v>
      </c>
      <c r="B11">
        <v>4178</v>
      </c>
      <c r="C11">
        <v>2848</v>
      </c>
      <c r="D11" s="1"/>
    </row>
    <row r="12" spans="1:4">
      <c r="A12">
        <v>1990</v>
      </c>
      <c r="B12">
        <v>4446</v>
      </c>
      <c r="C12">
        <v>3316</v>
      </c>
    </row>
    <row r="13" spans="1:4">
      <c r="A13">
        <v>1991</v>
      </c>
      <c r="B13">
        <v>4328</v>
      </c>
      <c r="C13">
        <v>3680</v>
      </c>
    </row>
    <row r="14" spans="1:4">
      <c r="A14">
        <v>1992</v>
      </c>
      <c r="B14">
        <v>4616</v>
      </c>
      <c r="C14">
        <v>4248</v>
      </c>
    </row>
    <row r="15" spans="1:4">
      <c r="A15">
        <v>1993</v>
      </c>
      <c r="B15">
        <v>5092</v>
      </c>
      <c r="C15">
        <v>4565</v>
      </c>
    </row>
    <row r="16" spans="1:4">
      <c r="A16">
        <v>1994</v>
      </c>
      <c r="B16">
        <v>5517</v>
      </c>
      <c r="C16">
        <v>5073</v>
      </c>
    </row>
    <row r="17" spans="1:3">
      <c r="A17">
        <v>1995</v>
      </c>
      <c r="B17">
        <v>5319</v>
      </c>
      <c r="C17">
        <v>4447</v>
      </c>
    </row>
    <row r="18" spans="1:3">
      <c r="A18">
        <v>1996</v>
      </c>
      <c r="B18">
        <v>5482</v>
      </c>
      <c r="C18">
        <v>5056</v>
      </c>
    </row>
    <row r="19" spans="1:3">
      <c r="A19">
        <v>1997</v>
      </c>
      <c r="B19">
        <v>6081</v>
      </c>
      <c r="C19">
        <v>5136</v>
      </c>
    </row>
    <row r="20" spans="1:3">
      <c r="A20">
        <v>1998</v>
      </c>
      <c r="B20">
        <v>6744</v>
      </c>
      <c r="C20">
        <v>5466</v>
      </c>
    </row>
    <row r="21" spans="1:3">
      <c r="A21">
        <v>1999</v>
      </c>
      <c r="B21">
        <v>6159</v>
      </c>
      <c r="C21">
        <v>5661</v>
      </c>
    </row>
    <row r="22" spans="1:3">
      <c r="A22">
        <v>2000</v>
      </c>
      <c r="B22">
        <v>6825</v>
      </c>
      <c r="C22">
        <v>6066</v>
      </c>
    </row>
    <row r="23" spans="1:3">
      <c r="A23">
        <v>2001</v>
      </c>
      <c r="B23">
        <v>6306</v>
      </c>
      <c r="C23">
        <v>6809</v>
      </c>
    </row>
    <row r="24" spans="1:3">
      <c r="A24">
        <v>2002</v>
      </c>
      <c r="B24">
        <v>6139</v>
      </c>
      <c r="C24">
        <v>6958</v>
      </c>
    </row>
    <row r="25" spans="1:3">
      <c r="A25">
        <v>2003</v>
      </c>
      <c r="B25">
        <v>6121</v>
      </c>
      <c r="C25">
        <v>6941</v>
      </c>
    </row>
    <row r="26" spans="1:3">
      <c r="A26">
        <v>2004</v>
      </c>
      <c r="B26">
        <v>6187</v>
      </c>
      <c r="C26">
        <v>6988</v>
      </c>
    </row>
    <row r="27" spans="1:3">
      <c r="A27">
        <v>2005</v>
      </c>
      <c r="B27">
        <v>7429</v>
      </c>
      <c r="C27">
        <v>6670</v>
      </c>
    </row>
    <row r="28" spans="1:3">
      <c r="A28">
        <v>2006</v>
      </c>
      <c r="B28">
        <v>7036</v>
      </c>
      <c r="C28">
        <v>7420</v>
      </c>
    </row>
    <row r="29" spans="1:3">
      <c r="A29">
        <v>2007</v>
      </c>
      <c r="B29">
        <v>6996</v>
      </c>
      <c r="C29">
        <v>7621</v>
      </c>
    </row>
    <row r="30" spans="1:3">
      <c r="A30">
        <v>2008</v>
      </c>
      <c r="B30">
        <v>8641</v>
      </c>
      <c r="C30">
        <v>7320</v>
      </c>
    </row>
    <row r="31" spans="1:3">
      <c r="A31">
        <v>2009</v>
      </c>
      <c r="B31">
        <v>8930</v>
      </c>
      <c r="C31">
        <v>8071</v>
      </c>
    </row>
    <row r="32" spans="1:3">
      <c r="A32">
        <v>2010</v>
      </c>
      <c r="B32">
        <v>9725</v>
      </c>
      <c r="C32">
        <v>9394</v>
      </c>
    </row>
    <row r="33" spans="1:3">
      <c r="A33">
        <v>2011</v>
      </c>
      <c r="B33">
        <v>9372</v>
      </c>
      <c r="C33">
        <v>9146</v>
      </c>
    </row>
    <row r="34" spans="1:3">
      <c r="A34">
        <v>2012</v>
      </c>
      <c r="B34">
        <v>9650</v>
      </c>
      <c r="C34">
        <v>9360</v>
      </c>
    </row>
    <row r="35" spans="1:3">
      <c r="A35">
        <v>2013</v>
      </c>
      <c r="B35">
        <v>9289</v>
      </c>
      <c r="C35">
        <v>9258</v>
      </c>
    </row>
    <row r="36" spans="1:3">
      <c r="A36">
        <v>2014</v>
      </c>
      <c r="B36">
        <v>9642</v>
      </c>
      <c r="C36">
        <v>9328</v>
      </c>
    </row>
    <row r="37" spans="1:3">
      <c r="A37">
        <v>2015</v>
      </c>
      <c r="B37">
        <v>9133</v>
      </c>
      <c r="C37">
        <v>9433</v>
      </c>
    </row>
    <row r="38" spans="1:3">
      <c r="A38">
        <v>2016</v>
      </c>
      <c r="B38">
        <v>9605</v>
      </c>
      <c r="C38">
        <v>9370</v>
      </c>
    </row>
    <row r="39" spans="1:3">
      <c r="A39">
        <v>2017</v>
      </c>
      <c r="B39">
        <v>9467</v>
      </c>
      <c r="C39">
        <v>9186</v>
      </c>
    </row>
    <row r="40" spans="1:3">
      <c r="A40">
        <v>2018</v>
      </c>
      <c r="B40">
        <v>9519</v>
      </c>
      <c r="C40">
        <v>9786</v>
      </c>
    </row>
    <row r="41" spans="1:3">
      <c r="A41">
        <v>2019</v>
      </c>
      <c r="B41">
        <v>9419</v>
      </c>
      <c r="C41">
        <v>10059</v>
      </c>
    </row>
    <row r="42" spans="1:3">
      <c r="A42">
        <v>2020</v>
      </c>
      <c r="B42">
        <v>8821</v>
      </c>
      <c r="C42">
        <v>9657</v>
      </c>
    </row>
    <row r="43" spans="1:3">
      <c r="A43">
        <v>2021</v>
      </c>
      <c r="B43">
        <v>8988</v>
      </c>
      <c r="C43">
        <v>8811</v>
      </c>
    </row>
    <row r="44" spans="1:3">
      <c r="A44">
        <v>2022</v>
      </c>
      <c r="B44">
        <v>7908</v>
      </c>
      <c r="C44">
        <v>9834</v>
      </c>
    </row>
    <row r="45" spans="1:3">
      <c r="A45">
        <v>2023</v>
      </c>
      <c r="B45">
        <v>8150</v>
      </c>
      <c r="C45">
        <v>10667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6"/>
  <dimension ref="A1:F14"/>
  <sheetViews>
    <sheetView workbookViewId="0"/>
  </sheetViews>
  <sheetFormatPr baseColWidth="10" defaultColWidth="8.83203125" defaultRowHeight="15"/>
  <sheetData>
    <row r="1" spans="1:6" ht="32">
      <c r="A1" s="65" t="s">
        <v>0</v>
      </c>
      <c r="B1" s="65" t="s">
        <v>389</v>
      </c>
      <c r="C1" s="66" t="s">
        <v>500</v>
      </c>
      <c r="D1" s="65" t="s">
        <v>355</v>
      </c>
      <c r="E1" s="65" t="s">
        <v>354</v>
      </c>
      <c r="F1" s="65" t="s">
        <v>501</v>
      </c>
    </row>
    <row r="2" spans="1:6" ht="16">
      <c r="A2" s="67">
        <v>2014</v>
      </c>
      <c r="B2" s="68">
        <v>44</v>
      </c>
      <c r="C2" s="68">
        <v>40</v>
      </c>
      <c r="D2" s="68">
        <v>36</v>
      </c>
      <c r="E2" s="69"/>
      <c r="F2" s="68">
        <v>40</v>
      </c>
    </row>
    <row r="3" spans="1:6" ht="16">
      <c r="A3" s="67">
        <v>2015</v>
      </c>
      <c r="B3" s="68">
        <v>42</v>
      </c>
      <c r="C3" s="68">
        <v>39</v>
      </c>
      <c r="D3" s="68">
        <v>34</v>
      </c>
      <c r="E3" s="69"/>
      <c r="F3" s="68">
        <v>38.33</v>
      </c>
    </row>
    <row r="4" spans="1:6" ht="16">
      <c r="A4" s="67">
        <v>2016</v>
      </c>
      <c r="B4" s="68">
        <v>35</v>
      </c>
      <c r="C4" s="68">
        <v>36</v>
      </c>
      <c r="D4" s="68">
        <v>31</v>
      </c>
      <c r="E4" s="69"/>
      <c r="F4" s="68">
        <v>34</v>
      </c>
    </row>
    <row r="5" spans="1:6">
      <c r="A5" s="67">
        <v>2017</v>
      </c>
      <c r="B5" s="68">
        <v>38</v>
      </c>
      <c r="C5" s="68">
        <v>36</v>
      </c>
      <c r="D5" s="68">
        <v>36</v>
      </c>
      <c r="E5" s="68">
        <v>25</v>
      </c>
      <c r="F5" s="68">
        <v>33.75</v>
      </c>
    </row>
    <row r="6" spans="1:6">
      <c r="A6" s="67">
        <v>2018</v>
      </c>
      <c r="B6" s="68">
        <v>35</v>
      </c>
      <c r="C6" s="68">
        <v>35</v>
      </c>
      <c r="D6" s="68">
        <v>32</v>
      </c>
      <c r="E6" s="68">
        <v>32</v>
      </c>
      <c r="F6" s="68">
        <v>33.5</v>
      </c>
    </row>
    <row r="7" spans="1:6">
      <c r="A7" s="67">
        <v>2019</v>
      </c>
      <c r="B7" s="68">
        <v>37</v>
      </c>
      <c r="C7" s="68">
        <v>34</v>
      </c>
      <c r="D7" s="68">
        <v>37</v>
      </c>
      <c r="E7" s="68">
        <v>34</v>
      </c>
      <c r="F7" s="68">
        <v>35.5</v>
      </c>
    </row>
    <row r="8" spans="1:6">
      <c r="A8" s="67">
        <v>2020</v>
      </c>
      <c r="B8" s="68">
        <v>36</v>
      </c>
      <c r="C8" s="68">
        <v>34</v>
      </c>
      <c r="D8" s="68">
        <v>37</v>
      </c>
      <c r="E8" s="68">
        <v>34</v>
      </c>
      <c r="F8" s="68">
        <v>35.25</v>
      </c>
    </row>
    <row r="9" spans="1:6">
      <c r="A9" s="67">
        <v>2021</v>
      </c>
      <c r="B9" s="68">
        <v>36</v>
      </c>
      <c r="C9" s="68">
        <v>34</v>
      </c>
      <c r="D9" s="68">
        <v>37</v>
      </c>
      <c r="E9" s="68">
        <v>34</v>
      </c>
      <c r="F9" s="68">
        <v>35.25</v>
      </c>
    </row>
    <row r="10" spans="1:6">
      <c r="A10" s="67">
        <v>2022</v>
      </c>
      <c r="B10" s="68">
        <v>35</v>
      </c>
      <c r="C10" s="68">
        <v>36</v>
      </c>
      <c r="D10" s="68">
        <v>35</v>
      </c>
      <c r="E10" s="68">
        <v>35</v>
      </c>
      <c r="F10" s="68">
        <v>35.25</v>
      </c>
    </row>
    <row r="11" spans="1:6">
      <c r="A11" s="67">
        <v>2023</v>
      </c>
      <c r="B11" s="68">
        <v>34</v>
      </c>
      <c r="C11" s="68">
        <v>34</v>
      </c>
      <c r="D11" s="68">
        <v>34</v>
      </c>
      <c r="E11" s="68">
        <v>36</v>
      </c>
      <c r="F11" s="68">
        <v>34.5</v>
      </c>
    </row>
    <row r="12" spans="1:6">
      <c r="A12" s="67">
        <v>2024</v>
      </c>
      <c r="B12" s="68">
        <v>38</v>
      </c>
      <c r="C12" s="68">
        <v>34</v>
      </c>
      <c r="D12" s="68">
        <v>32</v>
      </c>
      <c r="E12" s="68">
        <v>37</v>
      </c>
      <c r="F12" s="68">
        <v>35.25</v>
      </c>
    </row>
    <row r="13" spans="1:6">
      <c r="A13" s="67">
        <v>2025</v>
      </c>
      <c r="B13" s="68">
        <v>38</v>
      </c>
      <c r="C13" s="68">
        <v>34</v>
      </c>
      <c r="D13" s="68">
        <v>33</v>
      </c>
      <c r="E13" s="68">
        <v>33</v>
      </c>
      <c r="F13" s="68">
        <v>34.5</v>
      </c>
    </row>
    <row r="14" spans="1:6">
      <c r="A14" s="67">
        <v>2026</v>
      </c>
      <c r="B14" s="7">
        <v>38</v>
      </c>
      <c r="C14" s="7">
        <v>34</v>
      </c>
      <c r="D14" s="7">
        <v>32</v>
      </c>
      <c r="E14" s="7">
        <v>33</v>
      </c>
      <c r="F14" s="7">
        <v>34.25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7"/>
  <dimension ref="A1:F14"/>
  <sheetViews>
    <sheetView workbookViewId="0"/>
  </sheetViews>
  <sheetFormatPr baseColWidth="10" defaultColWidth="8.83203125" defaultRowHeight="15"/>
  <sheetData>
    <row r="1" spans="1:6" ht="32">
      <c r="A1" s="65" t="s">
        <v>0</v>
      </c>
      <c r="B1" s="65" t="s">
        <v>389</v>
      </c>
      <c r="C1" s="66" t="s">
        <v>500</v>
      </c>
      <c r="D1" s="65" t="s">
        <v>355</v>
      </c>
      <c r="E1" s="65" t="s">
        <v>354</v>
      </c>
      <c r="F1" s="65" t="s">
        <v>501</v>
      </c>
    </row>
    <row r="2" spans="1:6" ht="16">
      <c r="A2" s="67">
        <v>2014</v>
      </c>
      <c r="B2" s="68">
        <v>44.82</v>
      </c>
      <c r="C2" s="68">
        <v>41.68</v>
      </c>
      <c r="D2" s="68">
        <v>41.22</v>
      </c>
      <c r="E2" s="68" t="s">
        <v>21</v>
      </c>
      <c r="F2" s="68">
        <v>42.57</v>
      </c>
    </row>
    <row r="3" spans="1:6" ht="16">
      <c r="A3" s="67">
        <v>2015</v>
      </c>
      <c r="B3" s="68">
        <v>43.45</v>
      </c>
      <c r="C3" s="68">
        <v>41.56</v>
      </c>
      <c r="D3" s="68">
        <v>39.94</v>
      </c>
      <c r="E3" s="68" t="s">
        <v>21</v>
      </c>
      <c r="F3" s="68">
        <v>41.65</v>
      </c>
    </row>
    <row r="4" spans="1:6" ht="16">
      <c r="A4" s="67">
        <v>2016</v>
      </c>
      <c r="B4" s="68">
        <v>37.71</v>
      </c>
      <c r="C4" s="68">
        <v>41.19</v>
      </c>
      <c r="D4" s="68">
        <v>37.74</v>
      </c>
      <c r="E4" s="68" t="s">
        <v>21</v>
      </c>
      <c r="F4" s="68">
        <v>38.880000000000003</v>
      </c>
    </row>
    <row r="5" spans="1:6">
      <c r="A5" s="67">
        <v>2017</v>
      </c>
      <c r="B5" s="68">
        <v>40.39</v>
      </c>
      <c r="C5" s="68">
        <v>42.69</v>
      </c>
      <c r="D5" s="68">
        <v>44.86</v>
      </c>
      <c r="E5" s="68">
        <v>41.76</v>
      </c>
      <c r="F5" s="68">
        <v>42.43</v>
      </c>
    </row>
    <row r="6" spans="1:6">
      <c r="A6" s="67">
        <v>2018</v>
      </c>
      <c r="B6" s="68">
        <v>37.340000000000003</v>
      </c>
      <c r="C6" s="68">
        <v>41.09</v>
      </c>
      <c r="D6" s="68">
        <v>40.72</v>
      </c>
      <c r="E6" s="68">
        <v>41.59</v>
      </c>
      <c r="F6" s="68">
        <v>40.19</v>
      </c>
    </row>
    <row r="7" spans="1:6">
      <c r="A7" s="67">
        <v>2019</v>
      </c>
      <c r="B7" s="68">
        <v>35.729999999999997</v>
      </c>
      <c r="C7" s="68">
        <v>39.880000000000003</v>
      </c>
      <c r="D7" s="68">
        <v>40.159999999999997</v>
      </c>
      <c r="E7" s="68">
        <v>38.44</v>
      </c>
      <c r="F7" s="68">
        <v>38.549999999999997</v>
      </c>
    </row>
    <row r="8" spans="1:6">
      <c r="A8" s="67">
        <v>2020</v>
      </c>
      <c r="B8" s="68">
        <v>36.19</v>
      </c>
      <c r="C8" s="68">
        <v>41.32</v>
      </c>
      <c r="D8" s="68">
        <v>39.22</v>
      </c>
      <c r="E8" s="68">
        <v>40.29</v>
      </c>
      <c r="F8" s="68">
        <v>39.26</v>
      </c>
    </row>
    <row r="9" spans="1:6">
      <c r="A9" s="67">
        <v>2021</v>
      </c>
      <c r="B9" s="68">
        <v>37.17</v>
      </c>
      <c r="C9" s="68">
        <v>41.03</v>
      </c>
      <c r="D9" s="68">
        <v>41.16</v>
      </c>
      <c r="E9" s="68">
        <v>39.090000000000003</v>
      </c>
      <c r="F9" s="68">
        <v>39.61</v>
      </c>
    </row>
    <row r="10" spans="1:6">
      <c r="A10" s="67">
        <v>2022</v>
      </c>
      <c r="B10" s="68">
        <v>36.89</v>
      </c>
      <c r="C10" s="68">
        <v>41.75</v>
      </c>
      <c r="D10" s="68">
        <v>40.94</v>
      </c>
      <c r="E10" s="68">
        <v>39.89</v>
      </c>
      <c r="F10" s="68">
        <v>39.869999999999997</v>
      </c>
    </row>
    <row r="11" spans="1:6">
      <c r="A11" s="67">
        <v>2023</v>
      </c>
      <c r="B11" s="68">
        <v>37.409999999999997</v>
      </c>
      <c r="C11" s="68">
        <v>40.15</v>
      </c>
      <c r="D11" s="68">
        <v>41.29</v>
      </c>
      <c r="E11" s="68">
        <v>43.75</v>
      </c>
      <c r="F11" s="68">
        <v>40.65</v>
      </c>
    </row>
    <row r="12" spans="1:6">
      <c r="A12" s="67">
        <v>2024</v>
      </c>
      <c r="B12" s="68">
        <v>42.55</v>
      </c>
      <c r="C12" s="68">
        <v>39.35</v>
      </c>
      <c r="D12" s="68">
        <v>40.53</v>
      </c>
      <c r="E12" s="68">
        <v>44.08</v>
      </c>
      <c r="F12" s="68">
        <v>41.63</v>
      </c>
    </row>
    <row r="13" spans="1:6">
      <c r="A13" s="67">
        <v>2025</v>
      </c>
      <c r="B13" s="68">
        <v>41.74</v>
      </c>
      <c r="C13" s="68">
        <v>39.119999999999997</v>
      </c>
      <c r="D13" s="68">
        <v>41.18</v>
      </c>
      <c r="E13" s="68">
        <v>37.97</v>
      </c>
      <c r="F13" s="68">
        <v>40</v>
      </c>
    </row>
    <row r="14" spans="1:6">
      <c r="A14" s="67">
        <v>2026</v>
      </c>
      <c r="B14">
        <v>43.42</v>
      </c>
      <c r="C14">
        <v>39.82</v>
      </c>
      <c r="D14">
        <v>41.63</v>
      </c>
      <c r="E14">
        <v>37.97</v>
      </c>
      <c r="F14">
        <v>40.71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9127-2F36-3F4C-B689-A657675CDC12}">
  <sheetPr codeName="Sheet108"/>
  <dimension ref="A1:G26"/>
  <sheetViews>
    <sheetView workbookViewId="0">
      <selection activeCell="D33" sqref="D33"/>
    </sheetView>
  </sheetViews>
  <sheetFormatPr baseColWidth="10" defaultRowHeight="15"/>
  <cols>
    <col min="1" max="3" width="16.83203125" bestFit="1" customWidth="1"/>
    <col min="4" max="6" width="15" customWidth="1"/>
  </cols>
  <sheetData>
    <row r="1" spans="1:7">
      <c r="A1" s="7" t="s">
        <v>0</v>
      </c>
      <c r="B1" s="7" t="s">
        <v>484</v>
      </c>
      <c r="C1" s="7" t="s">
        <v>485</v>
      </c>
      <c r="D1" s="7" t="s">
        <v>486</v>
      </c>
      <c r="E1" s="7" t="s">
        <v>484</v>
      </c>
      <c r="F1" s="7" t="s">
        <v>485</v>
      </c>
      <c r="G1" s="7" t="s">
        <v>486</v>
      </c>
    </row>
    <row r="2" spans="1:7">
      <c r="A2" s="7">
        <v>2002</v>
      </c>
      <c r="B2" s="36">
        <v>0</v>
      </c>
      <c r="C2" s="36">
        <v>0</v>
      </c>
      <c r="D2" s="36">
        <v>0</v>
      </c>
      <c r="E2" t="str">
        <f>QUOTIENT(B2,12)&amp;" year"&amp;IF(QUOTIENT(B2,12)=1,"","s")&amp;" "&amp;INT(MOD(B2,12))&amp;" month"&amp;IF(INT(MOD(B2,12))=1,"","s")</f>
        <v>0 years 0 months</v>
      </c>
      <c r="F2" t="str">
        <f>QUOTIENT(C2,12)&amp;" year"&amp;IF(QUOTIENT(C2,12)=1,"","s")&amp;" "&amp;INT(MOD(C2,12))&amp;" month"&amp;IF(INT(MOD(C2,12))=1,"","s")</f>
        <v>0 years 0 months</v>
      </c>
      <c r="G2" t="str">
        <f>QUOTIENT(D2,12)&amp;" year"&amp;IF(QUOTIENT(D2,12)=1,"","s")&amp;" "&amp;INT(MOD(D2,12))&amp;" month"&amp;IF(INT(MOD(D2,12))=1,"","s")</f>
        <v>0 years 0 months</v>
      </c>
    </row>
    <row r="3" spans="1:7">
      <c r="A3" s="7">
        <v>2003</v>
      </c>
      <c r="B3" s="36">
        <v>0</v>
      </c>
      <c r="C3" s="36">
        <v>0</v>
      </c>
      <c r="D3" s="36">
        <v>0</v>
      </c>
      <c r="E3" t="str">
        <f t="shared" ref="E3:G25" si="0">QUOTIENT(B3,12)&amp;" year"&amp;IF(QUOTIENT(B3,12)=1,"","s")&amp;" "&amp;INT(MOD(B3,12))&amp;" month"&amp;IF(INT(MOD(B3,12))=1,"","s")</f>
        <v>0 years 0 months</v>
      </c>
      <c r="F3" t="str">
        <f t="shared" si="0"/>
        <v>0 years 0 months</v>
      </c>
      <c r="G3" t="str">
        <f t="shared" si="0"/>
        <v>0 years 0 months</v>
      </c>
    </row>
    <row r="4" spans="1:7">
      <c r="A4" s="7">
        <v>2004</v>
      </c>
      <c r="B4" s="36">
        <v>0</v>
      </c>
      <c r="C4" s="36">
        <v>0</v>
      </c>
      <c r="D4" s="36">
        <v>0</v>
      </c>
      <c r="E4" t="str">
        <f t="shared" si="0"/>
        <v>0 years 0 months</v>
      </c>
      <c r="F4" t="str">
        <f t="shared" si="0"/>
        <v>0 years 0 months</v>
      </c>
      <c r="G4" t="str">
        <f t="shared" si="0"/>
        <v>0 years 0 months</v>
      </c>
    </row>
    <row r="5" spans="1:7">
      <c r="A5" s="7">
        <v>2005</v>
      </c>
      <c r="B5" s="36">
        <v>0</v>
      </c>
      <c r="C5" s="36">
        <v>0</v>
      </c>
      <c r="D5" s="36">
        <v>19.7777777777777</v>
      </c>
      <c r="E5" t="str">
        <f t="shared" si="0"/>
        <v>0 years 0 months</v>
      </c>
      <c r="F5" t="str">
        <f t="shared" si="0"/>
        <v>0 years 0 months</v>
      </c>
      <c r="G5" t="str">
        <f t="shared" si="0"/>
        <v>1 year 7 months</v>
      </c>
    </row>
    <row r="6" spans="1:7">
      <c r="A6" s="7">
        <v>2006</v>
      </c>
      <c r="B6" s="36">
        <v>4.2636363636363601</v>
      </c>
      <c r="C6" s="36">
        <v>14.878787878787801</v>
      </c>
      <c r="D6" s="36">
        <v>60.05</v>
      </c>
      <c r="E6" t="str">
        <f t="shared" si="0"/>
        <v>0 years 4 months</v>
      </c>
      <c r="F6" t="str">
        <f t="shared" si="0"/>
        <v>1 year 2 months</v>
      </c>
      <c r="G6" t="str">
        <f t="shared" si="0"/>
        <v>5 years 0 months</v>
      </c>
    </row>
    <row r="7" spans="1:7">
      <c r="A7" s="7">
        <v>2007</v>
      </c>
      <c r="B7" s="36">
        <v>0.72727272727272696</v>
      </c>
      <c r="C7" s="36">
        <v>17.159090909090899</v>
      </c>
      <c r="D7" s="36">
        <v>57.2</v>
      </c>
      <c r="E7" t="str">
        <f t="shared" si="0"/>
        <v>0 years 0 months</v>
      </c>
      <c r="F7" t="str">
        <f t="shared" si="0"/>
        <v>1 year 5 months</v>
      </c>
      <c r="G7" t="str">
        <f t="shared" si="0"/>
        <v>4 years 9 months</v>
      </c>
    </row>
    <row r="8" spans="1:7">
      <c r="A8" s="7">
        <v>2008</v>
      </c>
      <c r="B8" s="36">
        <v>0</v>
      </c>
      <c r="C8" s="36">
        <v>24.4861111111111</v>
      </c>
      <c r="D8" s="36">
        <v>67.9722222222222</v>
      </c>
      <c r="E8" t="str">
        <f t="shared" si="0"/>
        <v>0 years 0 months</v>
      </c>
      <c r="F8" t="str">
        <f t="shared" si="0"/>
        <v>2 years 0 months</v>
      </c>
      <c r="G8" t="str">
        <f t="shared" si="0"/>
        <v>5 years 7 months</v>
      </c>
    </row>
    <row r="9" spans="1:7">
      <c r="A9" s="7">
        <v>2009</v>
      </c>
      <c r="B9" s="36">
        <v>0</v>
      </c>
      <c r="C9" s="36">
        <v>26.4583333333333</v>
      </c>
      <c r="D9" s="36">
        <v>80.857142857142804</v>
      </c>
      <c r="E9" t="str">
        <f t="shared" si="0"/>
        <v>0 years 0 months</v>
      </c>
      <c r="F9" t="str">
        <f t="shared" si="0"/>
        <v>2 years 2 months</v>
      </c>
      <c r="G9" t="str">
        <f t="shared" si="0"/>
        <v>6 years 8 months</v>
      </c>
    </row>
    <row r="10" spans="1:7">
      <c r="A10" s="7">
        <v>2010</v>
      </c>
      <c r="B10" s="36">
        <v>0</v>
      </c>
      <c r="C10" s="36">
        <v>15.6458333333333</v>
      </c>
      <c r="D10" s="36">
        <v>89.3958333333333</v>
      </c>
      <c r="E10" t="str">
        <f t="shared" si="0"/>
        <v>0 years 0 months</v>
      </c>
      <c r="F10" t="str">
        <f t="shared" si="0"/>
        <v>1 year 3 months</v>
      </c>
      <c r="G10" t="str">
        <f t="shared" si="0"/>
        <v>7 years 5 months</v>
      </c>
    </row>
    <row r="11" spans="1:7">
      <c r="A11" s="7">
        <v>2011</v>
      </c>
      <c r="B11" s="36">
        <v>0</v>
      </c>
      <c r="C11" s="36">
        <v>14.845833333333299</v>
      </c>
      <c r="D11" s="36">
        <v>81.758333333333297</v>
      </c>
      <c r="E11" t="str">
        <f t="shared" si="0"/>
        <v>0 years 0 months</v>
      </c>
      <c r="F11" t="str">
        <f t="shared" si="0"/>
        <v>1 year 2 months</v>
      </c>
      <c r="G11" t="str">
        <f t="shared" si="0"/>
        <v>6 years 9 months</v>
      </c>
    </row>
    <row r="12" spans="1:7">
      <c r="A12" s="7">
        <v>2012</v>
      </c>
      <c r="B12" s="36">
        <v>0</v>
      </c>
      <c r="C12" s="36">
        <v>21.9583333333333</v>
      </c>
      <c r="D12" s="36">
        <v>83.625</v>
      </c>
      <c r="E12" t="str">
        <f t="shared" si="0"/>
        <v>0 years 0 months</v>
      </c>
      <c r="F12" t="str">
        <f t="shared" si="0"/>
        <v>1 year 9 months</v>
      </c>
      <c r="G12" t="str">
        <f t="shared" si="0"/>
        <v>6 years 11 months</v>
      </c>
    </row>
    <row r="13" spans="1:7">
      <c r="A13" s="7">
        <v>2013</v>
      </c>
      <c r="B13" s="36">
        <v>0</v>
      </c>
      <c r="C13" s="36">
        <v>22.6875</v>
      </c>
      <c r="D13" s="36">
        <v>78.1458333333333</v>
      </c>
      <c r="E13" t="str">
        <f t="shared" si="0"/>
        <v>0 years 0 months</v>
      </c>
      <c r="F13" t="str">
        <f t="shared" si="0"/>
        <v>1 year 10 months</v>
      </c>
      <c r="G13" t="str">
        <f t="shared" si="0"/>
        <v>6 years 6 months</v>
      </c>
    </row>
    <row r="14" spans="1:7">
      <c r="A14" s="7">
        <v>2014</v>
      </c>
      <c r="B14" s="36">
        <v>0</v>
      </c>
      <c r="C14" s="36">
        <v>24.9513888888888</v>
      </c>
      <c r="D14" s="36">
        <v>62.2847222222222</v>
      </c>
      <c r="E14" t="str">
        <f t="shared" si="0"/>
        <v>0 years 0 months</v>
      </c>
      <c r="F14" t="str">
        <f t="shared" si="0"/>
        <v>2 years 0 months</v>
      </c>
      <c r="G14" t="str">
        <f t="shared" si="0"/>
        <v>5 years 2 months</v>
      </c>
    </row>
    <row r="15" spans="1:7">
      <c r="A15" s="7">
        <v>2015</v>
      </c>
      <c r="B15" s="36">
        <v>0</v>
      </c>
      <c r="C15" s="36">
        <v>28.3819444444444</v>
      </c>
      <c r="D15" s="36">
        <v>62.625</v>
      </c>
      <c r="E15" t="str">
        <f t="shared" si="0"/>
        <v>0 years 0 months</v>
      </c>
      <c r="F15" t="str">
        <f t="shared" si="0"/>
        <v>2 years 4 months</v>
      </c>
      <c r="G15" t="str">
        <f t="shared" si="0"/>
        <v>5 years 2 months</v>
      </c>
    </row>
    <row r="16" spans="1:7">
      <c r="A16" s="7">
        <v>2016</v>
      </c>
      <c r="B16" s="36">
        <v>5.3</v>
      </c>
      <c r="C16" s="36">
        <v>37.827777777777698</v>
      </c>
      <c r="D16" s="36">
        <v>62.866666666666603</v>
      </c>
      <c r="E16" t="str">
        <f t="shared" si="0"/>
        <v>0 years 5 months</v>
      </c>
      <c r="F16" t="str">
        <f t="shared" si="0"/>
        <v>3 years 1 month</v>
      </c>
      <c r="G16" t="str">
        <f t="shared" si="0"/>
        <v>5 years 2 months</v>
      </c>
    </row>
    <row r="17" spans="1:7">
      <c r="A17" s="7">
        <v>2017</v>
      </c>
      <c r="B17" s="36">
        <v>8.86666666666666</v>
      </c>
      <c r="C17" s="36">
        <v>34.233333333333299</v>
      </c>
      <c r="D17" s="36">
        <v>45.816666666666599</v>
      </c>
      <c r="E17" t="str">
        <f t="shared" si="0"/>
        <v>0 years 8 months</v>
      </c>
      <c r="F17" t="str">
        <f t="shared" si="0"/>
        <v>2 years 10 months</v>
      </c>
      <c r="G17" t="str">
        <f t="shared" si="0"/>
        <v>3 years 9 months</v>
      </c>
    </row>
    <row r="18" spans="1:7">
      <c r="A18" s="7">
        <v>2018</v>
      </c>
      <c r="B18" s="36">
        <v>23.7</v>
      </c>
      <c r="C18" s="36">
        <v>35.85</v>
      </c>
      <c r="D18" s="36">
        <v>38.6</v>
      </c>
      <c r="E18" t="str">
        <f t="shared" si="0"/>
        <v>1 year 11 months</v>
      </c>
      <c r="F18" t="str">
        <f t="shared" si="0"/>
        <v>2 years 11 months</v>
      </c>
      <c r="G18" t="str">
        <f t="shared" si="0"/>
        <v>3 years 2 months</v>
      </c>
    </row>
    <row r="19" spans="1:7">
      <c r="A19" s="7">
        <v>2019</v>
      </c>
      <c r="B19" s="36">
        <v>25.3041666666666</v>
      </c>
      <c r="C19" s="36">
        <v>35.0833333333333</v>
      </c>
      <c r="D19" s="36">
        <v>41.35</v>
      </c>
      <c r="E19" t="str">
        <f t="shared" si="0"/>
        <v>2 years 1 month</v>
      </c>
      <c r="F19" t="str">
        <f t="shared" si="0"/>
        <v>2 years 11 months</v>
      </c>
      <c r="G19" t="str">
        <f t="shared" si="0"/>
        <v>3 years 5 months</v>
      </c>
    </row>
    <row r="20" spans="1:7">
      <c r="A20" s="7">
        <v>2020</v>
      </c>
      <c r="B20" s="36">
        <v>17.216666666666601</v>
      </c>
      <c r="C20" s="36">
        <v>37.366666666666603</v>
      </c>
      <c r="D20" s="36">
        <v>46.4166666666666</v>
      </c>
      <c r="E20" t="str">
        <f t="shared" si="0"/>
        <v>1 year 5 months</v>
      </c>
      <c r="F20" t="str">
        <f t="shared" si="0"/>
        <v>3 years 1 month</v>
      </c>
      <c r="G20" t="str">
        <f t="shared" si="0"/>
        <v>3 years 10 months</v>
      </c>
    </row>
    <row r="21" spans="1:7">
      <c r="A21" s="7">
        <v>2021</v>
      </c>
      <c r="B21" s="36">
        <v>1.2</v>
      </c>
      <c r="C21" s="36">
        <v>34.4</v>
      </c>
      <c r="D21" s="36">
        <v>30.099999999999898</v>
      </c>
      <c r="E21" t="str">
        <f t="shared" si="0"/>
        <v>0 years 1 month</v>
      </c>
      <c r="F21" t="str">
        <f t="shared" si="0"/>
        <v>2 years 10 months</v>
      </c>
      <c r="G21" t="str">
        <f t="shared" si="0"/>
        <v>2 years 6 months</v>
      </c>
    </row>
    <row r="22" spans="1:7">
      <c r="A22" s="7">
        <v>2022</v>
      </c>
      <c r="B22" s="36">
        <v>0</v>
      </c>
      <c r="C22" s="36">
        <v>29.349999999999898</v>
      </c>
      <c r="D22" s="36">
        <v>34.966666666666598</v>
      </c>
      <c r="E22" t="str">
        <f t="shared" si="0"/>
        <v>0 years 0 months</v>
      </c>
      <c r="F22" t="str">
        <f t="shared" si="0"/>
        <v>2 years 5 months</v>
      </c>
      <c r="G22" t="str">
        <f t="shared" si="0"/>
        <v>2 years 10 months</v>
      </c>
    </row>
    <row r="23" spans="1:7">
      <c r="A23" s="7">
        <v>2023</v>
      </c>
      <c r="B23" s="36">
        <v>13.733333333333301</v>
      </c>
      <c r="C23" s="36">
        <v>45.516666666666602</v>
      </c>
      <c r="D23" s="36">
        <v>48.016666666666602</v>
      </c>
      <c r="E23" t="str">
        <f t="shared" si="0"/>
        <v>1 year 1 month</v>
      </c>
      <c r="F23" t="str">
        <f t="shared" si="0"/>
        <v>3 years 9 months</v>
      </c>
      <c r="G23" t="str">
        <f t="shared" si="0"/>
        <v>4 years 0 months</v>
      </c>
    </row>
    <row r="24" spans="1:7">
      <c r="A24" s="7">
        <v>2024</v>
      </c>
      <c r="B24" s="36">
        <v>11.218181818181799</v>
      </c>
      <c r="C24" s="36">
        <v>49.690909090909003</v>
      </c>
      <c r="D24" s="36">
        <v>52.272727272727202</v>
      </c>
      <c r="E24" t="str">
        <f t="shared" si="0"/>
        <v>0 years 11 months</v>
      </c>
      <c r="F24" t="str">
        <f t="shared" si="0"/>
        <v>4 years 1 month</v>
      </c>
      <c r="G24" t="str">
        <f t="shared" si="0"/>
        <v>4 years 4 months</v>
      </c>
    </row>
    <row r="25" spans="1:7">
      <c r="A25" s="7">
        <v>2025</v>
      </c>
      <c r="B25" s="36">
        <v>14.316666666666601</v>
      </c>
      <c r="C25" s="36">
        <v>54.216666666666598</v>
      </c>
      <c r="D25" s="36">
        <v>57.25</v>
      </c>
      <c r="E25" t="str">
        <f t="shared" si="0"/>
        <v>1 year 2 months</v>
      </c>
      <c r="F25" t="str">
        <f t="shared" si="0"/>
        <v>4 years 6 months</v>
      </c>
      <c r="G25" t="str">
        <f t="shared" si="0"/>
        <v>4 years 9 months</v>
      </c>
    </row>
    <row r="26" spans="1:7">
      <c r="A26" s="7">
        <v>2026</v>
      </c>
      <c r="B26" s="73">
        <v>14.2666666666666</v>
      </c>
      <c r="C26" s="73">
        <v>52.6666666666666</v>
      </c>
      <c r="D26" s="73">
        <v>59.733333333333299</v>
      </c>
      <c r="E26" t="str">
        <f t="shared" ref="E26:G26" si="1">QUOTIENT(B26,12)&amp;" year"&amp;IF(QUOTIENT(B26,12)=1,"","s")&amp;" "&amp;INT(MOD(B26,12))&amp;" month"&amp;IF(INT(MOD(B26,12))=1,"","s")</f>
        <v>1 year 2 months</v>
      </c>
      <c r="F26" t="str">
        <f t="shared" si="1"/>
        <v>4 years 4 months</v>
      </c>
      <c r="G26" t="str">
        <f t="shared" si="1"/>
        <v>4 years 11 months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3591-409C-F340-9023-805C3C50C243}">
  <sheetPr codeName="Sheet109"/>
  <dimension ref="A1:G18"/>
  <sheetViews>
    <sheetView workbookViewId="0">
      <selection activeCell="G43" sqref="G43"/>
    </sheetView>
  </sheetViews>
  <sheetFormatPr baseColWidth="10" defaultRowHeight="15"/>
  <cols>
    <col min="1" max="3" width="12.6640625" bestFit="1" customWidth="1"/>
    <col min="4" max="6" width="18" customWidth="1"/>
  </cols>
  <sheetData>
    <row r="1" spans="1:7">
      <c r="A1" s="7" t="s">
        <v>0</v>
      </c>
      <c r="B1" s="7" t="s">
        <v>484</v>
      </c>
      <c r="C1" s="7" t="s">
        <v>485</v>
      </c>
      <c r="D1" s="7" t="s">
        <v>486</v>
      </c>
      <c r="E1" s="7" t="s">
        <v>484</v>
      </c>
      <c r="F1" s="7" t="s">
        <v>485</v>
      </c>
      <c r="G1" s="7" t="s">
        <v>486</v>
      </c>
    </row>
    <row r="2" spans="1:7">
      <c r="A2" s="7">
        <v>2006</v>
      </c>
      <c r="B2" s="36">
        <v>11.7272727272727</v>
      </c>
      <c r="C2" s="36">
        <v>26.181818181818102</v>
      </c>
      <c r="D2" s="36">
        <v>56.363636363636303</v>
      </c>
      <c r="E2" t="str">
        <f>QUOTIENT(B2,12)&amp;" year"&amp;IF(QUOTIENT(B2,12)=1,"","s")&amp;" "&amp;INT(MOD(B2,12))&amp;" month"&amp;IF(INT(MOD(B2,12))=1,"","s")</f>
        <v>0 years 11 months</v>
      </c>
      <c r="F2" t="str">
        <f>QUOTIENT(C2,12)&amp;" year"&amp;IF(QUOTIENT(C2,12)=1,"","s")&amp;" "&amp;INT(MOD(C2,12))&amp;" month"&amp;IF(INT(MOD(C2,12))=1,"","s")</f>
        <v>2 years 2 months</v>
      </c>
      <c r="G2" t="str">
        <f>QUOTIENT(D2,12)&amp;" year"&amp;IF(QUOTIENT(D2,12)=1,"","s")&amp;" "&amp;INT(MOD(D2,12))&amp;" month"&amp;IF(INT(MOD(D2,12))=1,"","s")</f>
        <v>4 years 8 months</v>
      </c>
    </row>
    <row r="3" spans="1:7">
      <c r="A3" s="7">
        <v>2007</v>
      </c>
      <c r="B3" s="36">
        <v>0.72727272727272696</v>
      </c>
      <c r="C3" s="36">
        <v>23.090909090909001</v>
      </c>
      <c r="D3" s="36">
        <v>54.4</v>
      </c>
      <c r="E3" t="str">
        <f t="shared" ref="E3:G18" si="0">QUOTIENT(B3,12)&amp;" year"&amp;IF(QUOTIENT(B3,12)=1,"","s")&amp;" "&amp;INT(MOD(B3,12))&amp;" month"&amp;IF(INT(MOD(B3,12))=1,"","s")</f>
        <v>0 years 0 months</v>
      </c>
      <c r="F3" t="str">
        <f t="shared" si="0"/>
        <v>1 year 11 months</v>
      </c>
      <c r="G3" t="str">
        <f t="shared" si="0"/>
        <v>4 years 6 months</v>
      </c>
    </row>
    <row r="4" spans="1:7">
      <c r="A4" s="7">
        <v>2008</v>
      </c>
      <c r="B4" s="36">
        <v>0</v>
      </c>
      <c r="C4" s="36">
        <v>49.0833333333333</v>
      </c>
      <c r="D4" s="36">
        <v>71.7777777777777</v>
      </c>
      <c r="E4" t="str">
        <f t="shared" si="0"/>
        <v>0 years 0 months</v>
      </c>
      <c r="F4" t="str">
        <f t="shared" si="0"/>
        <v>4 years 1 month</v>
      </c>
      <c r="G4" t="str">
        <f t="shared" si="0"/>
        <v>5 years 11 months</v>
      </c>
    </row>
    <row r="5" spans="1:7">
      <c r="A5" s="7">
        <v>2009</v>
      </c>
      <c r="B5" s="36">
        <v>0</v>
      </c>
      <c r="C5" s="36">
        <v>53.75</v>
      </c>
      <c r="D5" s="36">
        <v>79.400000000000006</v>
      </c>
      <c r="E5" t="str">
        <f t="shared" si="0"/>
        <v>0 years 0 months</v>
      </c>
      <c r="F5" t="str">
        <f t="shared" si="0"/>
        <v>4 years 5 months</v>
      </c>
      <c r="G5" t="str">
        <f t="shared" si="0"/>
        <v>6 years 7 months</v>
      </c>
    </row>
    <row r="6" spans="1:7">
      <c r="A6" s="7">
        <v>2010</v>
      </c>
      <c r="B6" s="36">
        <v>0</v>
      </c>
      <c r="C6" s="36">
        <v>56</v>
      </c>
      <c r="D6" s="36">
        <v>85</v>
      </c>
      <c r="E6" t="str">
        <f t="shared" si="0"/>
        <v>0 years 0 months</v>
      </c>
      <c r="F6" t="str">
        <f t="shared" si="0"/>
        <v>4 years 8 months</v>
      </c>
      <c r="G6" t="str">
        <f t="shared" si="0"/>
        <v>7 years 1 month</v>
      </c>
    </row>
    <row r="7" spans="1:7">
      <c r="A7" s="7">
        <v>2011</v>
      </c>
      <c r="B7" s="36">
        <v>0</v>
      </c>
      <c r="C7" s="36">
        <v>56.5</v>
      </c>
      <c r="D7" s="36">
        <v>85</v>
      </c>
      <c r="E7" t="str">
        <f t="shared" si="0"/>
        <v>0 years 0 months</v>
      </c>
      <c r="F7" t="str">
        <f t="shared" si="0"/>
        <v>4 years 8 months</v>
      </c>
      <c r="G7" t="str">
        <f t="shared" si="0"/>
        <v>7 years 1 month</v>
      </c>
    </row>
    <row r="8" spans="1:7">
      <c r="A8" s="7">
        <v>2012</v>
      </c>
      <c r="B8" s="36">
        <v>0</v>
      </c>
      <c r="C8" s="36">
        <v>63</v>
      </c>
      <c r="D8" s="36">
        <v>80</v>
      </c>
      <c r="E8" t="str">
        <f t="shared" si="0"/>
        <v>0 years 0 months</v>
      </c>
      <c r="F8" t="str">
        <f t="shared" si="0"/>
        <v>5 years 3 months</v>
      </c>
      <c r="G8" t="str">
        <f t="shared" si="0"/>
        <v>6 years 8 months</v>
      </c>
    </row>
    <row r="9" spans="1:7">
      <c r="A9" s="7">
        <v>2016</v>
      </c>
      <c r="B9" s="36">
        <v>17.6666666666666</v>
      </c>
      <c r="C9" s="36">
        <v>62.2222222222222</v>
      </c>
      <c r="D9" s="36">
        <v>56.4444444444444</v>
      </c>
      <c r="E9" t="str">
        <f t="shared" si="0"/>
        <v>1 year 5 months</v>
      </c>
      <c r="F9" t="str">
        <f t="shared" si="0"/>
        <v>5 years 2 months</v>
      </c>
      <c r="G9" t="str">
        <f t="shared" si="0"/>
        <v>4 years 8 months</v>
      </c>
    </row>
    <row r="10" spans="1:7">
      <c r="A10" s="7">
        <v>2017</v>
      </c>
      <c r="B10" s="36">
        <v>22.1666666666666</v>
      </c>
      <c r="C10" s="36">
        <v>51.75</v>
      </c>
      <c r="D10" s="36">
        <v>45.5833333333333</v>
      </c>
      <c r="E10" t="str">
        <f t="shared" si="0"/>
        <v>1 year 10 months</v>
      </c>
      <c r="F10" t="str">
        <f t="shared" si="0"/>
        <v>4 years 3 months</v>
      </c>
      <c r="G10" t="str">
        <f t="shared" si="0"/>
        <v>3 years 9 months</v>
      </c>
    </row>
    <row r="11" spans="1:7">
      <c r="A11" s="7">
        <v>2018</v>
      </c>
      <c r="B11" s="36">
        <v>45.75</v>
      </c>
      <c r="C11" s="36">
        <v>47.0833333333333</v>
      </c>
      <c r="D11" s="36">
        <v>42.9166666666666</v>
      </c>
      <c r="E11" t="str">
        <f t="shared" si="0"/>
        <v>3 years 9 months</v>
      </c>
      <c r="F11" t="str">
        <f t="shared" si="0"/>
        <v>3 years 11 months</v>
      </c>
      <c r="G11" t="str">
        <f t="shared" si="0"/>
        <v>3 years 6 months</v>
      </c>
    </row>
    <row r="12" spans="1:7">
      <c r="A12" s="7">
        <v>2019</v>
      </c>
      <c r="B12" s="36">
        <v>32.0833333333333</v>
      </c>
      <c r="C12" s="36">
        <v>40.5833333333333</v>
      </c>
      <c r="D12" s="36">
        <v>46.25</v>
      </c>
      <c r="E12" t="str">
        <f t="shared" si="0"/>
        <v>2 years 8 months</v>
      </c>
      <c r="F12" t="str">
        <f t="shared" si="0"/>
        <v>3 years 4 months</v>
      </c>
      <c r="G12" t="str">
        <f t="shared" si="0"/>
        <v>3 years 10 months</v>
      </c>
    </row>
    <row r="13" spans="1:7">
      <c r="A13" s="7">
        <v>2020</v>
      </c>
      <c r="B13" s="36">
        <v>30.5</v>
      </c>
      <c r="C13" s="36">
        <v>55.0833333333333</v>
      </c>
      <c r="D13" s="36">
        <v>44.75</v>
      </c>
      <c r="E13" t="str">
        <f t="shared" si="0"/>
        <v>2 years 6 months</v>
      </c>
      <c r="F13" t="str">
        <f t="shared" si="0"/>
        <v>4 years 7 months</v>
      </c>
      <c r="G13" t="str">
        <f t="shared" si="0"/>
        <v>3 years 8 months</v>
      </c>
    </row>
    <row r="14" spans="1:7">
      <c r="A14" s="7">
        <v>2021</v>
      </c>
      <c r="B14" s="36">
        <v>3</v>
      </c>
      <c r="C14" s="36">
        <v>46.25</v>
      </c>
      <c r="D14" s="36">
        <v>36</v>
      </c>
      <c r="E14" t="str">
        <f t="shared" si="0"/>
        <v>0 years 3 months</v>
      </c>
      <c r="F14" t="str">
        <f t="shared" si="0"/>
        <v>3 years 10 months</v>
      </c>
      <c r="G14" t="str">
        <f t="shared" si="0"/>
        <v>3 years 0 months</v>
      </c>
    </row>
    <row r="15" spans="1:7">
      <c r="A15" s="7">
        <v>2022</v>
      </c>
      <c r="B15" s="36">
        <v>0</v>
      </c>
      <c r="C15" s="36">
        <v>38.6666666666666</v>
      </c>
      <c r="D15" s="36">
        <v>50.4166666666666</v>
      </c>
      <c r="E15" t="str">
        <f t="shared" si="0"/>
        <v>0 years 0 months</v>
      </c>
      <c r="F15" t="str">
        <f t="shared" si="0"/>
        <v>3 years 2 months</v>
      </c>
      <c r="G15" t="str">
        <f t="shared" si="0"/>
        <v>4 years 2 months</v>
      </c>
    </row>
    <row r="16" spans="1:7">
      <c r="A16" s="7">
        <v>2023</v>
      </c>
      <c r="B16" s="36">
        <v>16.5</v>
      </c>
      <c r="C16" s="36">
        <v>47.3333333333333</v>
      </c>
      <c r="D16" s="36">
        <v>50.0833333333333</v>
      </c>
      <c r="E16" t="str">
        <f t="shared" si="0"/>
        <v>1 year 4 months</v>
      </c>
      <c r="F16" t="str">
        <f t="shared" si="0"/>
        <v>3 years 11 months</v>
      </c>
      <c r="G16" t="str">
        <f t="shared" si="0"/>
        <v>4 years 2 months</v>
      </c>
    </row>
    <row r="17" spans="1:7">
      <c r="A17" s="7">
        <v>2024</v>
      </c>
      <c r="B17" s="36">
        <v>21</v>
      </c>
      <c r="C17" s="36">
        <v>52.272727272727202</v>
      </c>
      <c r="D17" s="36">
        <v>46.909090909090899</v>
      </c>
      <c r="E17" t="str">
        <f t="shared" si="0"/>
        <v>1 year 9 months</v>
      </c>
      <c r="F17" t="str">
        <f t="shared" si="0"/>
        <v>4 years 4 months</v>
      </c>
      <c r="G17" t="str">
        <f t="shared" si="0"/>
        <v>3 years 10 months</v>
      </c>
    </row>
    <row r="18" spans="1:7">
      <c r="A18" s="7">
        <v>2025</v>
      </c>
      <c r="B18" s="36">
        <v>31.1666666666666</v>
      </c>
      <c r="C18" s="36">
        <v>55.5833333333333</v>
      </c>
      <c r="D18" s="36">
        <v>55.1666666666666</v>
      </c>
      <c r="E18" t="str">
        <f t="shared" si="0"/>
        <v>2 years 7 months</v>
      </c>
      <c r="F18" t="str">
        <f t="shared" si="0"/>
        <v>4 years 7 months</v>
      </c>
      <c r="G18" t="str">
        <f t="shared" si="0"/>
        <v>4 years 7 months</v>
      </c>
    </row>
  </sheetData>
  <pageMargins left="0.7" right="0.7" top="0.75" bottom="0.75" header="0.3" footer="0.3"/>
  <pageSetup orientation="portrait" horizontalDpi="0" verticalDpi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A4EE-76DB-5F4D-AD6B-E8F667696233}">
  <sheetPr codeName="Sheet110"/>
  <dimension ref="A1:G25"/>
  <sheetViews>
    <sheetView workbookViewId="0">
      <selection activeCell="I16" sqref="I16"/>
    </sheetView>
  </sheetViews>
  <sheetFormatPr baseColWidth="10" defaultRowHeight="15"/>
  <sheetData>
    <row r="1" spans="1:7">
      <c r="A1" s="7" t="s">
        <v>0</v>
      </c>
      <c r="B1" s="7" t="s">
        <v>484</v>
      </c>
      <c r="C1" s="7" t="s">
        <v>485</v>
      </c>
      <c r="D1" s="7" t="s">
        <v>486</v>
      </c>
      <c r="E1" s="7" t="s">
        <v>484</v>
      </c>
      <c r="F1" s="7" t="s">
        <v>485</v>
      </c>
      <c r="G1" s="7" t="s">
        <v>486</v>
      </c>
    </row>
    <row r="2" spans="1:7">
      <c r="A2" s="134">
        <v>2002</v>
      </c>
      <c r="B2" s="36">
        <v>0</v>
      </c>
      <c r="C2" s="36">
        <v>0</v>
      </c>
      <c r="D2" s="36">
        <v>0</v>
      </c>
      <c r="E2" t="str">
        <f>QUOTIENT(B2,12)&amp;" year"&amp;IF(QUOTIENT(B2,12)=1,"","s")&amp;" "&amp;INT(MOD(B2,12))&amp;" month"&amp;IF(INT(MOD(B2,12))=1,"","s")</f>
        <v>0 years 0 months</v>
      </c>
      <c r="F2" t="str">
        <f>QUOTIENT(C2,12)&amp;" year"&amp;IF(QUOTIENT(C2,12)=1,"","s")&amp;" "&amp;INT(MOD(C2,12))&amp;" month"&amp;IF(INT(MOD(C2,12))=1,"","s")</f>
        <v>0 years 0 months</v>
      </c>
      <c r="G2" t="str">
        <f>QUOTIENT(D2,12)&amp;" year"&amp;IF(QUOTIENT(D2,12)=1,"","s")&amp;" "&amp;INT(MOD(D2,12))&amp;" month"&amp;IF(INT(MOD(D2,12))=1,"","s")</f>
        <v>0 years 0 months</v>
      </c>
    </row>
    <row r="3" spans="1:7">
      <c r="A3" s="134">
        <v>2003</v>
      </c>
      <c r="B3" s="36">
        <v>0</v>
      </c>
      <c r="C3" s="36">
        <v>0</v>
      </c>
      <c r="D3" s="36">
        <v>0</v>
      </c>
      <c r="E3" t="str">
        <f t="shared" ref="E3:G25" si="0">QUOTIENT(B3,12)&amp;" year"&amp;IF(QUOTIENT(B3,12)=1,"","s")&amp;" "&amp;INT(MOD(B3,12))&amp;" month"&amp;IF(INT(MOD(B3,12))=1,"","s")</f>
        <v>0 years 0 months</v>
      </c>
      <c r="F3" t="str">
        <f t="shared" si="0"/>
        <v>0 years 0 months</v>
      </c>
      <c r="G3" t="str">
        <f t="shared" si="0"/>
        <v>0 years 0 months</v>
      </c>
    </row>
    <row r="4" spans="1:7">
      <c r="A4" s="134">
        <v>2004</v>
      </c>
      <c r="B4" s="36">
        <v>0</v>
      </c>
      <c r="C4" s="36">
        <v>0</v>
      </c>
      <c r="D4" s="36">
        <v>0</v>
      </c>
      <c r="E4" t="str">
        <f t="shared" si="0"/>
        <v>0 years 0 months</v>
      </c>
      <c r="F4" t="str">
        <f t="shared" si="0"/>
        <v>0 years 0 months</v>
      </c>
      <c r="G4" t="str">
        <f t="shared" si="0"/>
        <v>0 years 0 months</v>
      </c>
    </row>
    <row r="5" spans="1:7">
      <c r="A5" s="134">
        <v>2005</v>
      </c>
      <c r="B5" s="36">
        <v>0</v>
      </c>
      <c r="C5" s="36">
        <v>0</v>
      </c>
      <c r="D5" s="36">
        <v>35.6666666666666</v>
      </c>
      <c r="E5" t="str">
        <f t="shared" si="0"/>
        <v>0 years 0 months</v>
      </c>
      <c r="F5" t="str">
        <f t="shared" si="0"/>
        <v>0 years 0 months</v>
      </c>
      <c r="G5" t="str">
        <f t="shared" si="0"/>
        <v>2 years 11 months</v>
      </c>
    </row>
    <row r="6" spans="1:7">
      <c r="A6" s="134">
        <v>2006</v>
      </c>
      <c r="B6" s="36">
        <v>7.9090909090909003</v>
      </c>
      <c r="C6" s="36">
        <v>46.3333333333333</v>
      </c>
      <c r="D6" s="36">
        <v>64.909090909090907</v>
      </c>
      <c r="E6" t="str">
        <f t="shared" si="0"/>
        <v>0 years 7 months</v>
      </c>
      <c r="F6" t="str">
        <f t="shared" si="0"/>
        <v>3 years 10 months</v>
      </c>
      <c r="G6" t="str">
        <f t="shared" si="0"/>
        <v>5 years 4 months</v>
      </c>
    </row>
    <row r="7" spans="1:7">
      <c r="A7" s="134">
        <v>2007</v>
      </c>
      <c r="B7" s="36">
        <v>0.72727272727272696</v>
      </c>
      <c r="C7" s="36">
        <v>44.090909090909001</v>
      </c>
      <c r="D7" s="36">
        <v>63.4</v>
      </c>
      <c r="E7" t="str">
        <f t="shared" si="0"/>
        <v>0 years 0 months</v>
      </c>
      <c r="F7" t="str">
        <f t="shared" si="0"/>
        <v>3 years 8 months</v>
      </c>
      <c r="G7" t="str">
        <f t="shared" si="0"/>
        <v>5 years 3 months</v>
      </c>
    </row>
    <row r="8" spans="1:7">
      <c r="A8" s="134">
        <v>2008</v>
      </c>
      <c r="B8" s="36">
        <v>0</v>
      </c>
      <c r="C8" s="36">
        <v>54.9</v>
      </c>
      <c r="D8" s="36">
        <v>81.4444444444444</v>
      </c>
      <c r="E8" t="str">
        <f t="shared" si="0"/>
        <v>0 years 0 months</v>
      </c>
      <c r="F8" t="str">
        <f t="shared" si="0"/>
        <v>4 years 6 months</v>
      </c>
      <c r="G8" t="str">
        <f t="shared" si="0"/>
        <v>6 years 9 months</v>
      </c>
    </row>
    <row r="9" spans="1:7">
      <c r="A9" s="134">
        <v>2009</v>
      </c>
      <c r="B9" s="36">
        <v>0</v>
      </c>
      <c r="C9" s="36">
        <v>70</v>
      </c>
      <c r="D9" s="36">
        <v>94.428571428571402</v>
      </c>
      <c r="E9" t="str">
        <f t="shared" si="0"/>
        <v>0 years 0 months</v>
      </c>
      <c r="F9" t="str">
        <f t="shared" si="0"/>
        <v>5 years 10 months</v>
      </c>
      <c r="G9" t="str">
        <f t="shared" si="0"/>
        <v>7 years 10 months</v>
      </c>
    </row>
    <row r="10" spans="1:7">
      <c r="A10" s="134">
        <v>2010</v>
      </c>
      <c r="B10" s="36">
        <v>0</v>
      </c>
      <c r="C10" s="36">
        <v>57.9166666666666</v>
      </c>
      <c r="D10" s="36">
        <v>104.166666666666</v>
      </c>
      <c r="E10" t="str">
        <f t="shared" si="0"/>
        <v>0 years 0 months</v>
      </c>
      <c r="F10" t="str">
        <f t="shared" si="0"/>
        <v>4 years 9 months</v>
      </c>
      <c r="G10" t="str">
        <f t="shared" si="0"/>
        <v>8 years 8 months</v>
      </c>
    </row>
    <row r="11" spans="1:7">
      <c r="A11" s="134">
        <v>2011</v>
      </c>
      <c r="B11" s="36">
        <v>0</v>
      </c>
      <c r="C11" s="36">
        <v>53.75</v>
      </c>
      <c r="D11" s="36">
        <v>109.583333333333</v>
      </c>
      <c r="E11" t="str">
        <f t="shared" si="0"/>
        <v>0 years 0 months</v>
      </c>
      <c r="F11" t="str">
        <f t="shared" si="0"/>
        <v>4 years 5 months</v>
      </c>
      <c r="G11" t="str">
        <f t="shared" si="0"/>
        <v>9 years 1 month</v>
      </c>
    </row>
    <row r="12" spans="1:7">
      <c r="A12" s="134">
        <v>2012</v>
      </c>
      <c r="B12" s="36">
        <v>0</v>
      </c>
      <c r="C12" s="36">
        <v>57.125</v>
      </c>
      <c r="D12" s="36">
        <v>117.25</v>
      </c>
      <c r="E12" t="str">
        <f t="shared" si="0"/>
        <v>0 years 0 months</v>
      </c>
      <c r="F12" t="str">
        <f t="shared" si="0"/>
        <v>4 years 9 months</v>
      </c>
      <c r="G12" t="str">
        <f t="shared" si="0"/>
        <v>9 years 9 months</v>
      </c>
    </row>
    <row r="13" spans="1:7">
      <c r="A13" s="134">
        <v>2013</v>
      </c>
      <c r="B13" s="36">
        <v>0</v>
      </c>
      <c r="C13" s="36">
        <v>90.75</v>
      </c>
      <c r="D13" s="36">
        <v>123.5</v>
      </c>
      <c r="E13" t="str">
        <f t="shared" si="0"/>
        <v>0 years 0 months</v>
      </c>
      <c r="F13" t="str">
        <f t="shared" si="0"/>
        <v>7 years 6 months</v>
      </c>
      <c r="G13" t="str">
        <f t="shared" si="0"/>
        <v>10 years 3 months</v>
      </c>
    </row>
    <row r="14" spans="1:7">
      <c r="A14" s="134">
        <v>2014</v>
      </c>
      <c r="B14" s="36">
        <v>0</v>
      </c>
      <c r="C14" s="36">
        <v>98</v>
      </c>
      <c r="D14" s="36">
        <v>128.25</v>
      </c>
      <c r="E14" t="str">
        <f t="shared" si="0"/>
        <v>0 years 0 months</v>
      </c>
      <c r="F14" t="str">
        <f t="shared" si="0"/>
        <v>8 years 2 months</v>
      </c>
      <c r="G14" t="str">
        <f t="shared" si="0"/>
        <v>10 years 8 months</v>
      </c>
    </row>
    <row r="15" spans="1:7">
      <c r="A15" s="134">
        <v>2015</v>
      </c>
      <c r="B15" s="36">
        <v>0</v>
      </c>
      <c r="C15" s="36">
        <v>100.25</v>
      </c>
      <c r="D15" s="36">
        <v>135.583333333333</v>
      </c>
      <c r="E15" t="str">
        <f t="shared" si="0"/>
        <v>0 years 0 months</v>
      </c>
      <c r="F15" t="str">
        <f t="shared" si="0"/>
        <v>8 years 4 months</v>
      </c>
      <c r="G15" t="str">
        <f t="shared" si="0"/>
        <v>11 years 3 months</v>
      </c>
    </row>
    <row r="16" spans="1:7">
      <c r="A16" s="134">
        <v>2016</v>
      </c>
      <c r="B16" s="36">
        <v>13.25</v>
      </c>
      <c r="C16" s="36">
        <v>112</v>
      </c>
      <c r="D16" s="36">
        <v>140.166666666666</v>
      </c>
      <c r="E16" t="str">
        <f t="shared" si="0"/>
        <v>1 year 1 month</v>
      </c>
      <c r="F16" t="str">
        <f t="shared" si="0"/>
        <v>9 years 4 months</v>
      </c>
      <c r="G16" t="str">
        <f t="shared" si="0"/>
        <v>11 years 8 months</v>
      </c>
    </row>
    <row r="17" spans="1:7">
      <c r="A17" s="134">
        <v>2017</v>
      </c>
      <c r="B17" s="36">
        <v>22.1666666666666</v>
      </c>
      <c r="C17" s="36">
        <v>107.416666666666</v>
      </c>
      <c r="D17" s="36">
        <v>138.75</v>
      </c>
      <c r="E17" t="str">
        <f t="shared" si="0"/>
        <v>1 year 10 months</v>
      </c>
      <c r="F17" t="str">
        <f t="shared" si="0"/>
        <v>8 years 11 months</v>
      </c>
      <c r="G17" t="str">
        <f t="shared" si="0"/>
        <v>11 years 6 months</v>
      </c>
    </row>
    <row r="18" spans="1:7">
      <c r="A18" s="134">
        <v>2018</v>
      </c>
      <c r="B18" s="36">
        <v>45.75</v>
      </c>
      <c r="C18" s="36">
        <v>115.166666666666</v>
      </c>
      <c r="D18" s="36">
        <v>128</v>
      </c>
      <c r="E18" t="str">
        <f t="shared" si="0"/>
        <v>3 years 9 months</v>
      </c>
      <c r="F18" t="str">
        <f t="shared" si="0"/>
        <v>9 years 7 months</v>
      </c>
      <c r="G18" t="str">
        <f t="shared" si="0"/>
        <v>10 years 8 months</v>
      </c>
    </row>
    <row r="19" spans="1:7">
      <c r="A19" s="134">
        <v>2019</v>
      </c>
      <c r="B19" s="36">
        <v>42.090909090909001</v>
      </c>
      <c r="C19" s="36">
        <v>122.083333333333</v>
      </c>
      <c r="D19" s="36">
        <v>129.333333333333</v>
      </c>
      <c r="E19" t="str">
        <f t="shared" si="0"/>
        <v>3 years 6 months</v>
      </c>
      <c r="F19" t="str">
        <f t="shared" si="0"/>
        <v>10 years 2 months</v>
      </c>
      <c r="G19" t="str">
        <f t="shared" si="0"/>
        <v>10 years 9 months</v>
      </c>
    </row>
    <row r="20" spans="1:7">
      <c r="A20" s="134">
        <v>2020</v>
      </c>
      <c r="B20" s="36">
        <v>42.8333333333333</v>
      </c>
      <c r="C20" s="36">
        <v>131.75</v>
      </c>
      <c r="D20" s="36">
        <v>131.833333333333</v>
      </c>
      <c r="E20" t="str">
        <f t="shared" si="0"/>
        <v>3 years 6 months</v>
      </c>
      <c r="F20" t="str">
        <f t="shared" si="0"/>
        <v>10 years 11 months</v>
      </c>
      <c r="G20" t="str">
        <f t="shared" si="0"/>
        <v>10 years 11 months</v>
      </c>
    </row>
    <row r="21" spans="1:7">
      <c r="A21" s="134">
        <v>2021</v>
      </c>
      <c r="B21" s="36">
        <v>3</v>
      </c>
      <c r="C21" s="36">
        <v>125.75</v>
      </c>
      <c r="D21" s="36">
        <v>114.5</v>
      </c>
      <c r="E21" t="str">
        <f t="shared" si="0"/>
        <v>0 years 3 months</v>
      </c>
      <c r="F21" t="str">
        <f t="shared" si="0"/>
        <v>10 years 5 months</v>
      </c>
      <c r="G21" t="str">
        <f t="shared" si="0"/>
        <v>9 years 6 months</v>
      </c>
    </row>
    <row r="22" spans="1:7">
      <c r="A22" s="134">
        <v>2022</v>
      </c>
      <c r="B22" s="36">
        <v>0</v>
      </c>
      <c r="C22" s="36">
        <v>107.833333333333</v>
      </c>
      <c r="D22" s="36">
        <v>124.416666666666</v>
      </c>
      <c r="E22" t="str">
        <f t="shared" si="0"/>
        <v>0 years 0 months</v>
      </c>
      <c r="F22" t="str">
        <f t="shared" si="0"/>
        <v>8 years 11 months</v>
      </c>
      <c r="G22" t="str">
        <f t="shared" si="0"/>
        <v>10 years 4 months</v>
      </c>
    </row>
    <row r="23" spans="1:7">
      <c r="A23" s="134">
        <v>2023</v>
      </c>
      <c r="B23" s="36">
        <v>51.9166666666666</v>
      </c>
      <c r="C23" s="36">
        <v>144.25</v>
      </c>
      <c r="D23" s="36">
        <v>143</v>
      </c>
      <c r="E23" t="str">
        <f t="shared" si="0"/>
        <v>4 years 3 months</v>
      </c>
      <c r="F23" t="str">
        <f t="shared" si="0"/>
        <v>12 years 0 months</v>
      </c>
      <c r="G23" t="str">
        <f t="shared" si="0"/>
        <v>11 years 11 months</v>
      </c>
    </row>
    <row r="24" spans="1:7">
      <c r="A24" s="134">
        <v>2024</v>
      </c>
      <c r="B24" s="36">
        <v>35.090909090909001</v>
      </c>
      <c r="C24" s="36">
        <v>145.18181818181799</v>
      </c>
      <c r="D24" s="36">
        <v>141.636363636363</v>
      </c>
      <c r="E24" t="str">
        <f t="shared" si="0"/>
        <v>2 years 11 months</v>
      </c>
      <c r="F24" t="str">
        <f t="shared" si="0"/>
        <v>12 years 1 month</v>
      </c>
      <c r="G24" t="str">
        <f t="shared" si="0"/>
        <v>11 years 9 months</v>
      </c>
    </row>
    <row r="25" spans="1:7">
      <c r="A25" s="134">
        <v>2025</v>
      </c>
      <c r="B25" s="36">
        <v>40.4166666666666</v>
      </c>
      <c r="C25" s="36">
        <v>149.25</v>
      </c>
      <c r="D25" s="36">
        <v>146.083333333333</v>
      </c>
      <c r="E25" t="str">
        <f t="shared" si="0"/>
        <v>3 years 4 months</v>
      </c>
      <c r="F25" t="str">
        <f t="shared" si="0"/>
        <v>12 years 5 months</v>
      </c>
      <c r="G25" t="str">
        <f t="shared" si="0"/>
        <v>12 years 2 months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fig_001</vt:lpstr>
      <vt:lpstr>fig_002</vt:lpstr>
      <vt:lpstr>fig_003</vt:lpstr>
      <vt:lpstr>fig_004</vt:lpstr>
      <vt:lpstr>fig_005</vt:lpstr>
      <vt:lpstr>fig_006</vt:lpstr>
      <vt:lpstr>fig_007</vt:lpstr>
      <vt:lpstr>fig_008</vt:lpstr>
      <vt:lpstr>fig_009</vt:lpstr>
      <vt:lpstr>fig_010</vt:lpstr>
      <vt:lpstr>fig_011</vt:lpstr>
      <vt:lpstr>fig_012</vt:lpstr>
      <vt:lpstr>fig_013</vt:lpstr>
      <vt:lpstr>fig_014</vt:lpstr>
      <vt:lpstr>fig_015</vt:lpstr>
      <vt:lpstr>fig_016</vt:lpstr>
      <vt:lpstr>fig_017</vt:lpstr>
      <vt:lpstr>fig_018</vt:lpstr>
      <vt:lpstr>fig_019</vt:lpstr>
      <vt:lpstr>fig_020</vt:lpstr>
      <vt:lpstr>fig_021</vt:lpstr>
      <vt:lpstr>fig_022</vt:lpstr>
      <vt:lpstr>fig_023</vt:lpstr>
      <vt:lpstr>fig_024</vt:lpstr>
      <vt:lpstr>fig_025</vt:lpstr>
      <vt:lpstr>fig_026</vt:lpstr>
      <vt:lpstr>fig_027</vt:lpstr>
      <vt:lpstr>fig_028</vt:lpstr>
      <vt:lpstr>fig_029</vt:lpstr>
      <vt:lpstr>fig_030</vt:lpstr>
      <vt:lpstr>fig_031</vt:lpstr>
      <vt:lpstr>fig_032</vt:lpstr>
      <vt:lpstr>fig_033</vt:lpstr>
      <vt:lpstr>fig_034</vt:lpstr>
      <vt:lpstr>fig_035</vt:lpstr>
      <vt:lpstr>fig_036</vt:lpstr>
      <vt:lpstr>fig_037</vt:lpstr>
      <vt:lpstr>fig_038</vt:lpstr>
      <vt:lpstr>fig_039</vt:lpstr>
      <vt:lpstr>fig_040</vt:lpstr>
      <vt:lpstr>fig_041</vt:lpstr>
      <vt:lpstr>fig_042</vt:lpstr>
      <vt:lpstr>fig_043</vt:lpstr>
      <vt:lpstr>fig_044</vt:lpstr>
      <vt:lpstr>fig_045</vt:lpstr>
      <vt:lpstr>fig_046</vt:lpstr>
      <vt:lpstr>fig_047</vt:lpstr>
      <vt:lpstr>fig_049</vt:lpstr>
      <vt:lpstr>fig_050</vt:lpstr>
      <vt:lpstr>fig_051</vt:lpstr>
      <vt:lpstr>fig_052</vt:lpstr>
      <vt:lpstr>fig_053</vt:lpstr>
      <vt:lpstr>fig_059</vt:lpstr>
      <vt:lpstr>fig_060</vt:lpstr>
      <vt:lpstr>fig_061</vt:lpstr>
      <vt:lpstr>fig_062</vt:lpstr>
      <vt:lpstr>fig_063</vt:lpstr>
      <vt:lpstr>fig_064</vt:lpstr>
      <vt:lpstr>fig_065</vt:lpstr>
      <vt:lpstr>fig_066</vt:lpstr>
      <vt:lpstr>fig_067</vt:lpstr>
      <vt:lpstr>fig_068</vt:lpstr>
      <vt:lpstr>fig_069</vt:lpstr>
      <vt:lpstr>fig_070</vt:lpstr>
      <vt:lpstr>fig_071</vt:lpstr>
      <vt:lpstr>fig_072</vt:lpstr>
      <vt:lpstr>fig_073</vt:lpstr>
      <vt:lpstr>fig_074</vt:lpstr>
      <vt:lpstr>fig_075</vt:lpstr>
      <vt:lpstr>fig_076</vt:lpstr>
      <vt:lpstr>fig_077</vt:lpstr>
      <vt:lpstr>fig_078</vt:lpstr>
      <vt:lpstr>fig_079</vt:lpstr>
      <vt:lpstr>fig_080</vt:lpstr>
      <vt:lpstr>fig_081</vt:lpstr>
      <vt:lpstr>fig_082</vt:lpstr>
      <vt:lpstr>fig_083</vt:lpstr>
      <vt:lpstr>fig_084</vt:lpstr>
      <vt:lpstr>fig_085</vt:lpstr>
      <vt:lpstr>fig_086</vt:lpstr>
      <vt:lpstr>fig_087</vt:lpstr>
      <vt:lpstr>fig_088</vt:lpstr>
      <vt:lpstr>fig_089</vt:lpstr>
      <vt:lpstr>fig_090</vt:lpstr>
      <vt:lpstr>fig_091</vt:lpstr>
      <vt:lpstr>fig_092</vt:lpstr>
      <vt:lpstr>fig_093</vt:lpstr>
      <vt:lpstr>fig_094</vt:lpstr>
      <vt:lpstr>fig_095</vt:lpstr>
      <vt:lpstr>fig_096</vt:lpstr>
      <vt:lpstr>fig_097</vt:lpstr>
      <vt:lpstr>tab_001</vt:lpstr>
      <vt:lpstr>tab_002</vt:lpstr>
      <vt:lpstr>tab_003</vt:lpstr>
      <vt:lpstr>tab_004</vt:lpstr>
      <vt:lpstr>tab_005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Emerson Victoria Johnston</cp:lastModifiedBy>
  <dcterms:created xsi:type="dcterms:W3CDTF">2025-12-06T20:21:03Z</dcterms:created>
  <dcterms:modified xsi:type="dcterms:W3CDTF">2026-05-23T23:21:40Z</dcterms:modified>
</cp:coreProperties>
</file>